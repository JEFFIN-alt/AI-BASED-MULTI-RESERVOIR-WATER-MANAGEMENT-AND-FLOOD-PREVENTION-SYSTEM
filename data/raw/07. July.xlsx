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 codeName="ThisWorkbook"/>
  <bookViews>
    <workbookView xWindow="-105" yWindow="-105" windowWidth="20730" windowHeight="11760" tabRatio="597" firstSheet="25" activeTab="32"/>
  </bookViews>
  <sheets>
    <sheet name="01.07.2026" sheetId="86" r:id="rId1"/>
    <sheet name="MU" sheetId="91" state="hidden" r:id="rId2"/>
    <sheet name="FB" sheetId="92" state="hidden" r:id="rId3"/>
    <sheet name="02.07.2026" sheetId="93" r:id="rId4"/>
    <sheet name="03.07.2026" sheetId="94" r:id="rId5"/>
    <sheet name="04.07.2026" sheetId="95" r:id="rId6"/>
    <sheet name="05.07.2026" sheetId="96" r:id="rId7"/>
    <sheet name="06.07.2026" sheetId="97" r:id="rId8"/>
    <sheet name="07.07.2026" sheetId="99" r:id="rId9"/>
    <sheet name="08.07.2026" sheetId="100" r:id="rId10"/>
    <sheet name="09.07.2026" sheetId="101" r:id="rId11"/>
    <sheet name="10.07.2026" sheetId="102" r:id="rId12"/>
    <sheet name="11.07.2026" sheetId="103" r:id="rId13"/>
    <sheet name="12.07.2026" sheetId="104" r:id="rId14"/>
    <sheet name="13.07.2026" sheetId="105" r:id="rId15"/>
    <sheet name="14.07.2026" sheetId="106" r:id="rId16"/>
    <sheet name="15.07.2026" sheetId="107" r:id="rId17"/>
    <sheet name="16.07.2026" sheetId="108" r:id="rId18"/>
    <sheet name="17.07.2026" sheetId="109" r:id="rId19"/>
    <sheet name="18.07.2026" sheetId="110" r:id="rId20"/>
    <sheet name="19.07.2026" sheetId="111" r:id="rId21"/>
    <sheet name="20.07.2026" sheetId="112" r:id="rId22"/>
    <sheet name="21.07.2026" sheetId="113" r:id="rId23"/>
    <sheet name="22.07.2026" sheetId="114" r:id="rId24"/>
    <sheet name="23.07.2026" sheetId="115" r:id="rId25"/>
    <sheet name="24.07.2026" sheetId="116" r:id="rId26"/>
    <sheet name="25.07.2026" sheetId="117" r:id="rId27"/>
    <sheet name="26.07.2026" sheetId="118" r:id="rId28"/>
    <sheet name="27.07.2026" sheetId="119" r:id="rId29"/>
    <sheet name="28.07.2026" sheetId="120" r:id="rId30"/>
    <sheet name="29.07.2026" sheetId="121" r:id="rId31"/>
    <sheet name="30.07.2026" sheetId="122" r:id="rId32"/>
    <sheet name="31.07.2026" sheetId="123" r:id="rId33"/>
  </sheets>
  <externalReferences>
    <externalReference r:id="rId34"/>
  </externalReferences>
  <definedNames>
    <definedName name="_xlnm.Print_Area" localSheetId="0">'01.07.2026'!$A$1:$W$25</definedName>
    <definedName name="_xlnm.Print_Area" localSheetId="2">FB!$A$1:$I$23</definedName>
    <definedName name="_xlnm.Print_Area" localSheetId="1">MU!$A$1:$Q$26</definedName>
  </definedNames>
  <calcPr calcId="144525"/>
</workbook>
</file>

<file path=xl/calcChain.xml><?xml version="1.0" encoding="utf-8"?>
<calcChain xmlns="http://schemas.openxmlformats.org/spreadsheetml/2006/main">
  <c r="O23" i="123" l="1"/>
  <c r="M23" i="123"/>
  <c r="N23" i="123" s="1"/>
  <c r="L23" i="123"/>
  <c r="U22" i="123"/>
  <c r="Q22" i="123"/>
  <c r="O22" i="123"/>
  <c r="N22" i="123"/>
  <c r="U21" i="123"/>
  <c r="Q21" i="123"/>
  <c r="N21" i="123"/>
  <c r="Z20" i="123"/>
  <c r="Y20" i="123"/>
  <c r="U20" i="123"/>
  <c r="Q20" i="123"/>
  <c r="O20" i="123"/>
  <c r="N20" i="123"/>
  <c r="AA19" i="123"/>
  <c r="Y19" i="123"/>
  <c r="U19" i="123"/>
  <c r="Q19" i="123"/>
  <c r="O19" i="123"/>
  <c r="N19" i="123"/>
  <c r="U18" i="123"/>
  <c r="Q18" i="123"/>
  <c r="N18" i="123"/>
  <c r="Z17" i="123"/>
  <c r="Y17" i="123"/>
  <c r="U17" i="123"/>
  <c r="Q17" i="123"/>
  <c r="O17" i="123"/>
  <c r="N17" i="123"/>
  <c r="Y16" i="123"/>
  <c r="U16" i="123"/>
  <c r="Q16" i="123"/>
  <c r="O16" i="123"/>
  <c r="N16" i="123"/>
  <c r="AB15" i="123"/>
  <c r="Y15" i="123"/>
  <c r="U15" i="123"/>
  <c r="Q15" i="123"/>
  <c r="O15" i="123"/>
  <c r="N15" i="123"/>
  <c r="U14" i="123"/>
  <c r="Q14" i="123"/>
  <c r="O14" i="123"/>
  <c r="N14" i="123"/>
  <c r="U13" i="123"/>
  <c r="Q13" i="123"/>
  <c r="O13" i="123"/>
  <c r="N13" i="123"/>
  <c r="Y12" i="123"/>
  <c r="U12" i="123"/>
  <c r="Q12" i="123"/>
  <c r="O12" i="123"/>
  <c r="N12" i="123"/>
  <c r="Y11" i="123"/>
  <c r="U11" i="123"/>
  <c r="Q11" i="123"/>
  <c r="O11" i="123"/>
  <c r="N11" i="123"/>
  <c r="Y10" i="123"/>
  <c r="U10" i="123"/>
  <c r="T10" i="123"/>
  <c r="Q10" i="123"/>
  <c r="O10" i="123"/>
  <c r="N10" i="123"/>
  <c r="U9" i="123"/>
  <c r="Q9" i="123"/>
  <c r="O9" i="123"/>
  <c r="N9" i="123"/>
  <c r="Z8" i="123"/>
  <c r="U8" i="123"/>
  <c r="Q8" i="123"/>
  <c r="O8" i="123"/>
  <c r="N8" i="123"/>
  <c r="K8" i="123"/>
  <c r="J8" i="123"/>
  <c r="I8" i="123"/>
  <c r="U7" i="123"/>
  <c r="Q7" i="123"/>
  <c r="O7" i="123"/>
  <c r="N7" i="123"/>
  <c r="K7" i="123"/>
  <c r="J7" i="123"/>
  <c r="I7" i="123"/>
  <c r="U6" i="123"/>
  <c r="Q6" i="123"/>
  <c r="O6" i="123"/>
  <c r="N6" i="123"/>
  <c r="K6" i="123"/>
  <c r="J6" i="123"/>
  <c r="I6" i="123"/>
  <c r="U5" i="123"/>
  <c r="Q5" i="123"/>
  <c r="O5" i="123"/>
  <c r="N5" i="123"/>
  <c r="K5" i="123"/>
  <c r="J5" i="123"/>
  <c r="I5" i="123"/>
  <c r="AA3" i="123"/>
  <c r="O23" i="122" l="1"/>
  <c r="M23" i="122"/>
  <c r="N23" i="122" s="1"/>
  <c r="L23" i="122"/>
  <c r="U22" i="122"/>
  <c r="Q22" i="122"/>
  <c r="O22" i="122"/>
  <c r="N22" i="122"/>
  <c r="U21" i="122"/>
  <c r="Q21" i="122"/>
  <c r="N21" i="122"/>
  <c r="Z20" i="122"/>
  <c r="Y20" i="122"/>
  <c r="U20" i="122"/>
  <c r="Q20" i="122"/>
  <c r="O20" i="122"/>
  <c r="N20" i="122"/>
  <c r="AA19" i="122"/>
  <c r="Y19" i="122"/>
  <c r="U19" i="122"/>
  <c r="Q19" i="122"/>
  <c r="O19" i="122"/>
  <c r="N19" i="122"/>
  <c r="U18" i="122"/>
  <c r="Q18" i="122"/>
  <c r="N18" i="122"/>
  <c r="Z17" i="122"/>
  <c r="Y17" i="122"/>
  <c r="U17" i="122"/>
  <c r="Q17" i="122"/>
  <c r="O17" i="122"/>
  <c r="N17" i="122"/>
  <c r="Y16" i="122"/>
  <c r="U16" i="122"/>
  <c r="Q16" i="122"/>
  <c r="O16" i="122"/>
  <c r="N16" i="122"/>
  <c r="AB15" i="122"/>
  <c r="Y15" i="122"/>
  <c r="U15" i="122"/>
  <c r="Q15" i="122"/>
  <c r="O15" i="122"/>
  <c r="N15" i="122"/>
  <c r="U14" i="122"/>
  <c r="Q14" i="122"/>
  <c r="O14" i="122"/>
  <c r="N14" i="122"/>
  <c r="U13" i="122"/>
  <c r="Q13" i="122"/>
  <c r="O13" i="122"/>
  <c r="N13" i="122"/>
  <c r="Y12" i="122"/>
  <c r="U12" i="122"/>
  <c r="Q12" i="122"/>
  <c r="O12" i="122"/>
  <c r="N12" i="122"/>
  <c r="Y11" i="122"/>
  <c r="U11" i="122"/>
  <c r="Q11" i="122"/>
  <c r="O11" i="122"/>
  <c r="N11" i="122"/>
  <c r="Y10" i="122"/>
  <c r="T10" i="122" s="1"/>
  <c r="U10" i="122"/>
  <c r="Q10" i="122"/>
  <c r="O10" i="122"/>
  <c r="N10" i="122"/>
  <c r="U9" i="122"/>
  <c r="Q9" i="122"/>
  <c r="O9" i="122"/>
  <c r="N9" i="122"/>
  <c r="Z8" i="122"/>
  <c r="U8" i="122"/>
  <c r="Q8" i="122"/>
  <c r="O8" i="122"/>
  <c r="N8" i="122"/>
  <c r="K8" i="122"/>
  <c r="J8" i="122"/>
  <c r="I8" i="122"/>
  <c r="U7" i="122"/>
  <c r="Q7" i="122"/>
  <c r="O7" i="122"/>
  <c r="N7" i="122"/>
  <c r="K7" i="122"/>
  <c r="J7" i="122"/>
  <c r="I7" i="122"/>
  <c r="U6" i="122"/>
  <c r="Q6" i="122"/>
  <c r="O6" i="122"/>
  <c r="N6" i="122"/>
  <c r="K6" i="122"/>
  <c r="J6" i="122"/>
  <c r="I6" i="122"/>
  <c r="U5" i="122"/>
  <c r="Q5" i="122"/>
  <c r="O5" i="122"/>
  <c r="N5" i="122"/>
  <c r="K5" i="122"/>
  <c r="J5" i="122"/>
  <c r="I5" i="122"/>
  <c r="AA3" i="122"/>
  <c r="O23" i="121" l="1"/>
  <c r="M23" i="121"/>
  <c r="N23" i="121" s="1"/>
  <c r="L23" i="121"/>
  <c r="U22" i="121"/>
  <c r="Q22" i="121"/>
  <c r="O22" i="121"/>
  <c r="N22" i="121"/>
  <c r="U21" i="121"/>
  <c r="Q21" i="121"/>
  <c r="N21" i="121"/>
  <c r="Z20" i="121"/>
  <c r="Y20" i="121"/>
  <c r="U20" i="121"/>
  <c r="Q20" i="121"/>
  <c r="O20" i="121"/>
  <c r="N20" i="121"/>
  <c r="AA19" i="121"/>
  <c r="Y19" i="121"/>
  <c r="U19" i="121"/>
  <c r="Q19" i="121"/>
  <c r="O19" i="121"/>
  <c r="N19" i="121"/>
  <c r="U18" i="121"/>
  <c r="Q18" i="121"/>
  <c r="N18" i="121"/>
  <c r="Z17" i="121"/>
  <c r="Y17" i="121"/>
  <c r="U17" i="121"/>
  <c r="Q17" i="121"/>
  <c r="O17" i="121"/>
  <c r="N17" i="121"/>
  <c r="Y16" i="121"/>
  <c r="U16" i="121"/>
  <c r="Q16" i="121"/>
  <c r="O16" i="121"/>
  <c r="N16" i="121"/>
  <c r="AB15" i="121"/>
  <c r="Y15" i="121"/>
  <c r="T15" i="121" s="1"/>
  <c r="U15" i="121"/>
  <c r="Q15" i="121"/>
  <c r="O15" i="121"/>
  <c r="N15" i="121"/>
  <c r="U14" i="121"/>
  <c r="Q14" i="121"/>
  <c r="O14" i="121"/>
  <c r="N14" i="121"/>
  <c r="U13" i="121"/>
  <c r="Q13" i="121"/>
  <c r="O13" i="121"/>
  <c r="N13" i="121"/>
  <c r="Y12" i="121"/>
  <c r="U12" i="121"/>
  <c r="Q12" i="121"/>
  <c r="O12" i="121"/>
  <c r="N12" i="121"/>
  <c r="Y11" i="121"/>
  <c r="U11" i="121"/>
  <c r="Q11" i="121"/>
  <c r="O11" i="121"/>
  <c r="N11" i="121"/>
  <c r="Y10" i="121"/>
  <c r="T10" i="121" s="1"/>
  <c r="U10" i="121"/>
  <c r="Q10" i="121"/>
  <c r="O10" i="121"/>
  <c r="N10" i="121"/>
  <c r="U9" i="121"/>
  <c r="Q9" i="121"/>
  <c r="O9" i="121"/>
  <c r="N9" i="121"/>
  <c r="Z8" i="121"/>
  <c r="U8" i="121"/>
  <c r="Q8" i="121"/>
  <c r="O8" i="121"/>
  <c r="N8" i="121"/>
  <c r="K8" i="121"/>
  <c r="J8" i="121"/>
  <c r="I8" i="121"/>
  <c r="U7" i="121"/>
  <c r="Q7" i="121"/>
  <c r="O7" i="121"/>
  <c r="N7" i="121"/>
  <c r="K7" i="121"/>
  <c r="J7" i="121"/>
  <c r="I7" i="121"/>
  <c r="U6" i="121"/>
  <c r="Q6" i="121"/>
  <c r="O6" i="121"/>
  <c r="N6" i="121"/>
  <c r="K6" i="121"/>
  <c r="J6" i="121"/>
  <c r="I6" i="121"/>
  <c r="U5" i="121"/>
  <c r="Q5" i="121"/>
  <c r="O5" i="121"/>
  <c r="N5" i="121"/>
  <c r="K5" i="121"/>
  <c r="J5" i="121"/>
  <c r="I5" i="121"/>
  <c r="AA3" i="121"/>
  <c r="O23" i="120" l="1"/>
  <c r="M23" i="120"/>
  <c r="N23" i="120" s="1"/>
  <c r="L23" i="120"/>
  <c r="U22" i="120"/>
  <c r="Q22" i="120"/>
  <c r="O22" i="120"/>
  <c r="N22" i="120"/>
  <c r="U21" i="120"/>
  <c r="Q21" i="120"/>
  <c r="N21" i="120"/>
  <c r="Z20" i="120"/>
  <c r="Y20" i="120"/>
  <c r="U20" i="120"/>
  <c r="Q20" i="120"/>
  <c r="O20" i="120"/>
  <c r="N20" i="120"/>
  <c r="AA19" i="120"/>
  <c r="Y19" i="120"/>
  <c r="U19" i="120"/>
  <c r="Q19" i="120"/>
  <c r="O19" i="120"/>
  <c r="N19" i="120"/>
  <c r="U18" i="120"/>
  <c r="Q18" i="120"/>
  <c r="N18" i="120"/>
  <c r="Z17" i="120"/>
  <c r="Y17" i="120"/>
  <c r="U17" i="120"/>
  <c r="Q17" i="120"/>
  <c r="O17" i="120"/>
  <c r="N17" i="120"/>
  <c r="Y16" i="120"/>
  <c r="U16" i="120"/>
  <c r="Q16" i="120"/>
  <c r="O16" i="120"/>
  <c r="N16" i="120"/>
  <c r="AB15" i="120"/>
  <c r="Y15" i="120"/>
  <c r="T15" i="120" s="1"/>
  <c r="U15" i="120"/>
  <c r="Q15" i="120"/>
  <c r="O15" i="120"/>
  <c r="N15" i="120"/>
  <c r="U14" i="120"/>
  <c r="Q14" i="120"/>
  <c r="O14" i="120"/>
  <c r="N14" i="120"/>
  <c r="U13" i="120"/>
  <c r="Q13" i="120"/>
  <c r="O13" i="120"/>
  <c r="N13" i="120"/>
  <c r="Y12" i="120"/>
  <c r="U12" i="120"/>
  <c r="Q12" i="120"/>
  <c r="O12" i="120"/>
  <c r="N12" i="120"/>
  <c r="Y11" i="120"/>
  <c r="U11" i="120"/>
  <c r="Q11" i="120"/>
  <c r="O11" i="120"/>
  <c r="N11" i="120"/>
  <c r="Y10" i="120"/>
  <c r="T10" i="120" s="1"/>
  <c r="U10" i="120"/>
  <c r="Q10" i="120"/>
  <c r="O10" i="120"/>
  <c r="N10" i="120"/>
  <c r="U9" i="120"/>
  <c r="Q9" i="120"/>
  <c r="O9" i="120"/>
  <c r="N9" i="120"/>
  <c r="Z8" i="120"/>
  <c r="U8" i="120"/>
  <c r="Q8" i="120"/>
  <c r="O8" i="120"/>
  <c r="N8" i="120"/>
  <c r="K8" i="120"/>
  <c r="J8" i="120"/>
  <c r="I8" i="120"/>
  <c r="U7" i="120"/>
  <c r="Q7" i="120"/>
  <c r="O7" i="120"/>
  <c r="N7" i="120"/>
  <c r="K7" i="120"/>
  <c r="J7" i="120"/>
  <c r="I7" i="120"/>
  <c r="U6" i="120"/>
  <c r="Q6" i="120"/>
  <c r="O6" i="120"/>
  <c r="N6" i="120"/>
  <c r="K6" i="120"/>
  <c r="J6" i="120"/>
  <c r="I6" i="120"/>
  <c r="U5" i="120"/>
  <c r="Q5" i="120"/>
  <c r="O5" i="120"/>
  <c r="N5" i="120"/>
  <c r="K5" i="120"/>
  <c r="J5" i="120"/>
  <c r="I5" i="120"/>
  <c r="AA3" i="120"/>
  <c r="O23" i="118" l="1"/>
  <c r="M23" i="118"/>
  <c r="N23" i="118" s="1"/>
  <c r="L23" i="118"/>
  <c r="U22" i="118"/>
  <c r="Q22" i="118"/>
  <c r="O22" i="118"/>
  <c r="N22" i="118"/>
  <c r="U21" i="118"/>
  <c r="Q21" i="118"/>
  <c r="N21" i="118"/>
  <c r="Z20" i="118"/>
  <c r="Y20" i="118"/>
  <c r="U20" i="118"/>
  <c r="Q20" i="118"/>
  <c r="O20" i="118"/>
  <c r="N20" i="118"/>
  <c r="AA19" i="118"/>
  <c r="Y19" i="118"/>
  <c r="U19" i="118"/>
  <c r="Q19" i="118"/>
  <c r="O19" i="118"/>
  <c r="N19" i="118"/>
  <c r="U18" i="118"/>
  <c r="Q18" i="118"/>
  <c r="N18" i="118"/>
  <c r="Z17" i="118"/>
  <c r="Y17" i="118"/>
  <c r="U17" i="118"/>
  <c r="Q17" i="118"/>
  <c r="O17" i="118"/>
  <c r="N17" i="118"/>
  <c r="Y16" i="118"/>
  <c r="U16" i="118"/>
  <c r="Q16" i="118"/>
  <c r="O16" i="118"/>
  <c r="N16" i="118"/>
  <c r="AB15" i="118"/>
  <c r="Y15" i="118"/>
  <c r="T15" i="118" s="1"/>
  <c r="U15" i="118"/>
  <c r="Q15" i="118"/>
  <c r="O15" i="118"/>
  <c r="N15" i="118"/>
  <c r="U14" i="118"/>
  <c r="Q14" i="118"/>
  <c r="O14" i="118"/>
  <c r="N14" i="118"/>
  <c r="U13" i="118"/>
  <c r="Q13" i="118"/>
  <c r="O13" i="118"/>
  <c r="N13" i="118"/>
  <c r="Y12" i="118"/>
  <c r="U12" i="118"/>
  <c r="Q12" i="118"/>
  <c r="O12" i="118"/>
  <c r="N12" i="118"/>
  <c r="Y11" i="118"/>
  <c r="U11" i="118"/>
  <c r="Q11" i="118"/>
  <c r="O11" i="118"/>
  <c r="N11" i="118"/>
  <c r="Y10" i="118"/>
  <c r="T10" i="118" s="1"/>
  <c r="U10" i="118"/>
  <c r="Q10" i="118"/>
  <c r="O10" i="118"/>
  <c r="N10" i="118"/>
  <c r="U9" i="118"/>
  <c r="Q9" i="118"/>
  <c r="O9" i="118"/>
  <c r="N9" i="118"/>
  <c r="Z8" i="118"/>
  <c r="U8" i="118"/>
  <c r="Q8" i="118"/>
  <c r="O8" i="118"/>
  <c r="N8" i="118"/>
  <c r="K8" i="118"/>
  <c r="J8" i="118"/>
  <c r="I8" i="118"/>
  <c r="U7" i="118"/>
  <c r="Q7" i="118"/>
  <c r="O7" i="118"/>
  <c r="N7" i="118"/>
  <c r="K7" i="118"/>
  <c r="J7" i="118"/>
  <c r="I7" i="118"/>
  <c r="U6" i="118"/>
  <c r="Q6" i="118"/>
  <c r="O6" i="118"/>
  <c r="N6" i="118"/>
  <c r="K6" i="118"/>
  <c r="J6" i="118"/>
  <c r="I6" i="118"/>
  <c r="U5" i="118"/>
  <c r="Q5" i="118"/>
  <c r="O5" i="118"/>
  <c r="N5" i="118"/>
  <c r="K5" i="118"/>
  <c r="J5" i="118"/>
  <c r="I5" i="118"/>
  <c r="AA3" i="118"/>
  <c r="O23" i="119" l="1"/>
  <c r="M23" i="119"/>
  <c r="N23" i="119" s="1"/>
  <c r="L23" i="119"/>
  <c r="U22" i="119"/>
  <c r="Q22" i="119"/>
  <c r="O22" i="119"/>
  <c r="N22" i="119"/>
  <c r="U21" i="119"/>
  <c r="Q21" i="119"/>
  <c r="N21" i="119"/>
  <c r="Z20" i="119"/>
  <c r="Y20" i="119"/>
  <c r="U20" i="119"/>
  <c r="Q20" i="119"/>
  <c r="O20" i="119"/>
  <c r="N20" i="119"/>
  <c r="AA19" i="119"/>
  <c r="Y19" i="119"/>
  <c r="U19" i="119"/>
  <c r="Q19" i="119"/>
  <c r="O19" i="119"/>
  <c r="N19" i="119"/>
  <c r="U18" i="119"/>
  <c r="Q18" i="119"/>
  <c r="N18" i="119"/>
  <c r="Z17" i="119"/>
  <c r="Y17" i="119"/>
  <c r="U17" i="119"/>
  <c r="Q17" i="119"/>
  <c r="O17" i="119"/>
  <c r="N17" i="119"/>
  <c r="Y16" i="119"/>
  <c r="U16" i="119"/>
  <c r="Q16" i="119"/>
  <c r="O16" i="119"/>
  <c r="N16" i="119"/>
  <c r="AB15" i="119"/>
  <c r="Y15" i="119"/>
  <c r="T15" i="119" s="1"/>
  <c r="U15" i="119"/>
  <c r="Q15" i="119"/>
  <c r="O15" i="119"/>
  <c r="N15" i="119"/>
  <c r="U14" i="119"/>
  <c r="Q14" i="119"/>
  <c r="O14" i="119"/>
  <c r="N14" i="119"/>
  <c r="U13" i="119"/>
  <c r="Q13" i="119"/>
  <c r="O13" i="119"/>
  <c r="N13" i="119"/>
  <c r="Y12" i="119"/>
  <c r="U12" i="119"/>
  <c r="Q12" i="119"/>
  <c r="O12" i="119"/>
  <c r="N12" i="119"/>
  <c r="Y11" i="119"/>
  <c r="U11" i="119"/>
  <c r="Q11" i="119"/>
  <c r="O11" i="119"/>
  <c r="N11" i="119"/>
  <c r="Y10" i="119"/>
  <c r="T10" i="119" s="1"/>
  <c r="U10" i="119"/>
  <c r="Q10" i="119"/>
  <c r="O10" i="119"/>
  <c r="N10" i="119"/>
  <c r="U9" i="119"/>
  <c r="Q9" i="119"/>
  <c r="O9" i="119"/>
  <c r="N9" i="119"/>
  <c r="Z8" i="119"/>
  <c r="U8" i="119"/>
  <c r="Q8" i="119"/>
  <c r="O8" i="119"/>
  <c r="N8" i="119"/>
  <c r="K8" i="119"/>
  <c r="J8" i="119"/>
  <c r="I8" i="119"/>
  <c r="U7" i="119"/>
  <c r="Q7" i="119"/>
  <c r="O7" i="119"/>
  <c r="N7" i="119"/>
  <c r="K7" i="119"/>
  <c r="J7" i="119"/>
  <c r="I7" i="119"/>
  <c r="U6" i="119"/>
  <c r="Q6" i="119"/>
  <c r="O6" i="119"/>
  <c r="N6" i="119"/>
  <c r="K6" i="119"/>
  <c r="J6" i="119"/>
  <c r="I6" i="119"/>
  <c r="U5" i="119"/>
  <c r="Q5" i="119"/>
  <c r="O5" i="119"/>
  <c r="N5" i="119"/>
  <c r="K5" i="119"/>
  <c r="J5" i="119"/>
  <c r="I5" i="119"/>
  <c r="AA3" i="119"/>
  <c r="O23" i="117" l="1"/>
  <c r="M23" i="117"/>
  <c r="N23" i="117" s="1"/>
  <c r="L23" i="117"/>
  <c r="U22" i="117"/>
  <c r="Q22" i="117"/>
  <c r="O22" i="117"/>
  <c r="N22" i="117"/>
  <c r="U21" i="117"/>
  <c r="Q21" i="117"/>
  <c r="N21" i="117"/>
  <c r="Z20" i="117"/>
  <c r="Y20" i="117"/>
  <c r="U20" i="117"/>
  <c r="Q20" i="117"/>
  <c r="O20" i="117"/>
  <c r="N20" i="117"/>
  <c r="AA19" i="117"/>
  <c r="Y19" i="117"/>
  <c r="U19" i="117"/>
  <c r="Q19" i="117"/>
  <c r="O19" i="117"/>
  <c r="N19" i="117"/>
  <c r="U18" i="117"/>
  <c r="Q18" i="117"/>
  <c r="N18" i="117"/>
  <c r="Z17" i="117"/>
  <c r="Y17" i="117"/>
  <c r="U17" i="117"/>
  <c r="Q17" i="117"/>
  <c r="O17" i="117"/>
  <c r="N17" i="117"/>
  <c r="Y16" i="117"/>
  <c r="U16" i="117"/>
  <c r="Q16" i="117"/>
  <c r="O16" i="117"/>
  <c r="N16" i="117"/>
  <c r="AB15" i="117"/>
  <c r="Y15" i="117"/>
  <c r="T15" i="117" s="1"/>
  <c r="U15" i="117"/>
  <c r="Q15" i="117"/>
  <c r="O15" i="117"/>
  <c r="N15" i="117"/>
  <c r="U14" i="117"/>
  <c r="Q14" i="117"/>
  <c r="O14" i="117"/>
  <c r="N14" i="117"/>
  <c r="U13" i="117"/>
  <c r="Q13" i="117"/>
  <c r="O13" i="117"/>
  <c r="N13" i="117"/>
  <c r="Y12" i="117"/>
  <c r="U12" i="117"/>
  <c r="Q12" i="117"/>
  <c r="O12" i="117"/>
  <c r="N12" i="117"/>
  <c r="Y11" i="117"/>
  <c r="U11" i="117"/>
  <c r="Q11" i="117"/>
  <c r="O11" i="117"/>
  <c r="N11" i="117"/>
  <c r="Y10" i="117"/>
  <c r="U10" i="117"/>
  <c r="T10" i="117"/>
  <c r="Q10" i="117"/>
  <c r="O10" i="117"/>
  <c r="N10" i="117"/>
  <c r="U9" i="117"/>
  <c r="Q9" i="117"/>
  <c r="O9" i="117"/>
  <c r="N9" i="117"/>
  <c r="Z8" i="117"/>
  <c r="U8" i="117"/>
  <c r="Q8" i="117"/>
  <c r="O8" i="117"/>
  <c r="N8" i="117"/>
  <c r="K8" i="117"/>
  <c r="J8" i="117"/>
  <c r="I8" i="117"/>
  <c r="U7" i="117"/>
  <c r="Q7" i="117"/>
  <c r="O7" i="117"/>
  <c r="N7" i="117"/>
  <c r="K7" i="117"/>
  <c r="J7" i="117"/>
  <c r="I7" i="117"/>
  <c r="U6" i="117"/>
  <c r="Q6" i="117"/>
  <c r="O6" i="117"/>
  <c r="N6" i="117"/>
  <c r="K6" i="117"/>
  <c r="J6" i="117"/>
  <c r="I6" i="117"/>
  <c r="U5" i="117"/>
  <c r="Q5" i="117"/>
  <c r="O5" i="117"/>
  <c r="N5" i="117"/>
  <c r="K5" i="117"/>
  <c r="J5" i="117"/>
  <c r="I5" i="117"/>
  <c r="AA3" i="117"/>
  <c r="M23" i="116" l="1"/>
  <c r="N23" i="116" s="1"/>
  <c r="L23" i="116"/>
  <c r="O23" i="116" s="1"/>
  <c r="U22" i="116"/>
  <c r="Q22" i="116"/>
  <c r="O22" i="116"/>
  <c r="N22" i="116"/>
  <c r="U21" i="116"/>
  <c r="Q21" i="116"/>
  <c r="N21" i="116"/>
  <c r="Z20" i="116"/>
  <c r="Y20" i="116"/>
  <c r="U20" i="116"/>
  <c r="Q20" i="116"/>
  <c r="O20" i="116"/>
  <c r="N20" i="116"/>
  <c r="AA19" i="116"/>
  <c r="Y19" i="116"/>
  <c r="U19" i="116"/>
  <c r="Q19" i="116"/>
  <c r="O19" i="116"/>
  <c r="N19" i="116"/>
  <c r="U18" i="116"/>
  <c r="Q18" i="116"/>
  <c r="N18" i="116"/>
  <c r="Z17" i="116"/>
  <c r="Y17" i="116"/>
  <c r="U17" i="116"/>
  <c r="Q17" i="116"/>
  <c r="O17" i="116"/>
  <c r="N17" i="116"/>
  <c r="Y16" i="116"/>
  <c r="U16" i="116"/>
  <c r="Q16" i="116"/>
  <c r="O16" i="116"/>
  <c r="N16" i="116"/>
  <c r="AB15" i="116"/>
  <c r="Y15" i="116"/>
  <c r="T15" i="116" s="1"/>
  <c r="U15" i="116"/>
  <c r="Q15" i="116"/>
  <c r="O15" i="116"/>
  <c r="N15" i="116"/>
  <c r="U14" i="116"/>
  <c r="Q14" i="116"/>
  <c r="O14" i="116"/>
  <c r="N14" i="116"/>
  <c r="U13" i="116"/>
  <c r="Q13" i="116"/>
  <c r="O13" i="116"/>
  <c r="N13" i="116"/>
  <c r="Y12" i="116"/>
  <c r="U12" i="116"/>
  <c r="Q12" i="116"/>
  <c r="O12" i="116"/>
  <c r="N12" i="116"/>
  <c r="Y11" i="116"/>
  <c r="U11" i="116"/>
  <c r="Q11" i="116"/>
  <c r="O11" i="116"/>
  <c r="N11" i="116"/>
  <c r="Y10" i="116"/>
  <c r="T10" i="116" s="1"/>
  <c r="U10" i="116"/>
  <c r="Q10" i="116"/>
  <c r="O10" i="116"/>
  <c r="N10" i="116"/>
  <c r="U9" i="116"/>
  <c r="Q9" i="116"/>
  <c r="O9" i="116"/>
  <c r="N9" i="116"/>
  <c r="Z8" i="116"/>
  <c r="U8" i="116"/>
  <c r="Q8" i="116"/>
  <c r="O8" i="116"/>
  <c r="N8" i="116"/>
  <c r="K8" i="116"/>
  <c r="J8" i="116"/>
  <c r="I8" i="116"/>
  <c r="U7" i="116"/>
  <c r="Q7" i="116"/>
  <c r="O7" i="116"/>
  <c r="N7" i="116"/>
  <c r="K7" i="116"/>
  <c r="J7" i="116"/>
  <c r="I7" i="116"/>
  <c r="U6" i="116"/>
  <c r="Q6" i="116"/>
  <c r="O6" i="116"/>
  <c r="N6" i="116"/>
  <c r="K6" i="116"/>
  <c r="J6" i="116"/>
  <c r="I6" i="116"/>
  <c r="U5" i="116"/>
  <c r="Q5" i="116"/>
  <c r="O5" i="116"/>
  <c r="N5" i="116"/>
  <c r="K5" i="116"/>
  <c r="J5" i="116"/>
  <c r="I5" i="116"/>
  <c r="AA3" i="116"/>
  <c r="M23" i="115" l="1"/>
  <c r="N23" i="115" s="1"/>
  <c r="L23" i="115"/>
  <c r="O23" i="115" s="1"/>
  <c r="U22" i="115"/>
  <c r="Q22" i="115"/>
  <c r="O22" i="115"/>
  <c r="N22" i="115"/>
  <c r="U21" i="115"/>
  <c r="Q21" i="115"/>
  <c r="N21" i="115"/>
  <c r="Z20" i="115"/>
  <c r="Y20" i="115"/>
  <c r="U20" i="115"/>
  <c r="Q20" i="115"/>
  <c r="O20" i="115"/>
  <c r="N20" i="115"/>
  <c r="AA19" i="115"/>
  <c r="Y19" i="115"/>
  <c r="U19" i="115"/>
  <c r="Q19" i="115"/>
  <c r="O19" i="115"/>
  <c r="N19" i="115"/>
  <c r="U18" i="115"/>
  <c r="Q18" i="115"/>
  <c r="N18" i="115"/>
  <c r="Z17" i="115"/>
  <c r="Y17" i="115"/>
  <c r="U17" i="115"/>
  <c r="Q17" i="115"/>
  <c r="O17" i="115"/>
  <c r="N17" i="115"/>
  <c r="Y16" i="115"/>
  <c r="U16" i="115"/>
  <c r="Q16" i="115"/>
  <c r="O16" i="115"/>
  <c r="N16" i="115"/>
  <c r="AB15" i="115"/>
  <c r="Y15" i="115"/>
  <c r="T15" i="115" s="1"/>
  <c r="U15" i="115"/>
  <c r="Q15" i="115"/>
  <c r="O15" i="115"/>
  <c r="N15" i="115"/>
  <c r="U14" i="115"/>
  <c r="Q14" i="115"/>
  <c r="O14" i="115"/>
  <c r="N14" i="115"/>
  <c r="U13" i="115"/>
  <c r="Q13" i="115"/>
  <c r="O13" i="115"/>
  <c r="N13" i="115"/>
  <c r="Y12" i="115"/>
  <c r="U12" i="115"/>
  <c r="Q12" i="115"/>
  <c r="O12" i="115"/>
  <c r="N12" i="115"/>
  <c r="Y11" i="115"/>
  <c r="U11" i="115"/>
  <c r="Q11" i="115"/>
  <c r="O11" i="115"/>
  <c r="N11" i="115"/>
  <c r="Y10" i="115"/>
  <c r="T10" i="115" s="1"/>
  <c r="U10" i="115"/>
  <c r="Q10" i="115"/>
  <c r="O10" i="115"/>
  <c r="N10" i="115"/>
  <c r="U9" i="115"/>
  <c r="Q9" i="115"/>
  <c r="O9" i="115"/>
  <c r="N9" i="115"/>
  <c r="Z8" i="115"/>
  <c r="U8" i="115"/>
  <c r="Q8" i="115"/>
  <c r="O8" i="115"/>
  <c r="N8" i="115"/>
  <c r="K8" i="115"/>
  <c r="J8" i="115"/>
  <c r="I8" i="115"/>
  <c r="U7" i="115"/>
  <c r="Q7" i="115"/>
  <c r="O7" i="115"/>
  <c r="N7" i="115"/>
  <c r="K7" i="115"/>
  <c r="J7" i="115"/>
  <c r="I7" i="115"/>
  <c r="U6" i="115"/>
  <c r="Q6" i="115"/>
  <c r="O6" i="115"/>
  <c r="N6" i="115"/>
  <c r="K6" i="115"/>
  <c r="J6" i="115"/>
  <c r="I6" i="115"/>
  <c r="U5" i="115"/>
  <c r="Q5" i="115"/>
  <c r="O5" i="115"/>
  <c r="N5" i="115"/>
  <c r="K5" i="115"/>
  <c r="J5" i="115"/>
  <c r="I5" i="115"/>
  <c r="AA3" i="115"/>
  <c r="O23" i="114" l="1"/>
  <c r="M23" i="114"/>
  <c r="N23" i="114" s="1"/>
  <c r="L23" i="114"/>
  <c r="U22" i="114"/>
  <c r="Q22" i="114"/>
  <c r="O22" i="114"/>
  <c r="N22" i="114"/>
  <c r="U21" i="114"/>
  <c r="Q21" i="114"/>
  <c r="N21" i="114"/>
  <c r="Z20" i="114"/>
  <c r="Y20" i="114"/>
  <c r="U20" i="114"/>
  <c r="Q20" i="114"/>
  <c r="O20" i="114"/>
  <c r="N20" i="114"/>
  <c r="AA19" i="114"/>
  <c r="Y19" i="114"/>
  <c r="U19" i="114"/>
  <c r="Q19" i="114"/>
  <c r="O19" i="114"/>
  <c r="N19" i="114"/>
  <c r="U18" i="114"/>
  <c r="Q18" i="114"/>
  <c r="N18" i="114"/>
  <c r="Z17" i="114"/>
  <c r="Y17" i="114"/>
  <c r="U17" i="114"/>
  <c r="Q17" i="114"/>
  <c r="O17" i="114"/>
  <c r="N17" i="114"/>
  <c r="Y16" i="114"/>
  <c r="U16" i="114"/>
  <c r="Q16" i="114"/>
  <c r="O16" i="114"/>
  <c r="N16" i="114"/>
  <c r="AB15" i="114"/>
  <c r="Y15" i="114"/>
  <c r="T15" i="114" s="1"/>
  <c r="U15" i="114"/>
  <c r="Q15" i="114"/>
  <c r="O15" i="114"/>
  <c r="N15" i="114"/>
  <c r="U14" i="114"/>
  <c r="Q14" i="114"/>
  <c r="O14" i="114"/>
  <c r="N14" i="114"/>
  <c r="U13" i="114"/>
  <c r="Q13" i="114"/>
  <c r="O13" i="114"/>
  <c r="N13" i="114"/>
  <c r="Y12" i="114"/>
  <c r="U12" i="114"/>
  <c r="Q12" i="114"/>
  <c r="O12" i="114"/>
  <c r="N12" i="114"/>
  <c r="Y11" i="114"/>
  <c r="U11" i="114"/>
  <c r="Q11" i="114"/>
  <c r="O11" i="114"/>
  <c r="N11" i="114"/>
  <c r="Y10" i="114"/>
  <c r="T10" i="114" s="1"/>
  <c r="U10" i="114"/>
  <c r="Q10" i="114"/>
  <c r="O10" i="114"/>
  <c r="N10" i="114"/>
  <c r="U9" i="114"/>
  <c r="Q9" i="114"/>
  <c r="O9" i="114"/>
  <c r="N9" i="114"/>
  <c r="Z8" i="114"/>
  <c r="U8" i="114"/>
  <c r="Q8" i="114"/>
  <c r="O8" i="114"/>
  <c r="N8" i="114"/>
  <c r="K8" i="114"/>
  <c r="J8" i="114"/>
  <c r="I8" i="114"/>
  <c r="U7" i="114"/>
  <c r="Q7" i="114"/>
  <c r="O7" i="114"/>
  <c r="N7" i="114"/>
  <c r="K7" i="114"/>
  <c r="J7" i="114"/>
  <c r="I7" i="114"/>
  <c r="U6" i="114"/>
  <c r="Q6" i="114"/>
  <c r="O6" i="114"/>
  <c r="N6" i="114"/>
  <c r="K6" i="114"/>
  <c r="J6" i="114"/>
  <c r="I6" i="114"/>
  <c r="U5" i="114"/>
  <c r="Q5" i="114"/>
  <c r="O5" i="114"/>
  <c r="N5" i="114"/>
  <c r="K5" i="114"/>
  <c r="J5" i="114"/>
  <c r="I5" i="114"/>
  <c r="AA3" i="114"/>
  <c r="O23" i="113" l="1"/>
  <c r="M23" i="113"/>
  <c r="N23" i="113" s="1"/>
  <c r="L23" i="113"/>
  <c r="U22" i="113"/>
  <c r="Q22" i="113"/>
  <c r="O22" i="113"/>
  <c r="N22" i="113"/>
  <c r="U21" i="113"/>
  <c r="Q21" i="113"/>
  <c r="N21" i="113"/>
  <c r="Z20" i="113"/>
  <c r="Y20" i="113"/>
  <c r="U20" i="113"/>
  <c r="Q20" i="113"/>
  <c r="O20" i="113"/>
  <c r="N20" i="113"/>
  <c r="AA19" i="113"/>
  <c r="Y19" i="113"/>
  <c r="U19" i="113"/>
  <c r="Q19" i="113"/>
  <c r="O19" i="113"/>
  <c r="N19" i="113"/>
  <c r="U18" i="113"/>
  <c r="Q18" i="113"/>
  <c r="N18" i="113"/>
  <c r="Z17" i="113"/>
  <c r="Y17" i="113"/>
  <c r="U17" i="113"/>
  <c r="Q17" i="113"/>
  <c r="O17" i="113"/>
  <c r="N17" i="113"/>
  <c r="Y16" i="113"/>
  <c r="U16" i="113"/>
  <c r="Q16" i="113"/>
  <c r="O16" i="113"/>
  <c r="N16" i="113"/>
  <c r="AB15" i="113"/>
  <c r="Y15" i="113"/>
  <c r="T15" i="113" s="1"/>
  <c r="U15" i="113"/>
  <c r="Q15" i="113"/>
  <c r="O15" i="113"/>
  <c r="N15" i="113"/>
  <c r="U14" i="113"/>
  <c r="Q14" i="113"/>
  <c r="O14" i="113"/>
  <c r="N14" i="113"/>
  <c r="U13" i="113"/>
  <c r="Q13" i="113"/>
  <c r="O13" i="113"/>
  <c r="N13" i="113"/>
  <c r="Y12" i="113"/>
  <c r="U12" i="113"/>
  <c r="Q12" i="113"/>
  <c r="O12" i="113"/>
  <c r="N12" i="113"/>
  <c r="Y11" i="113"/>
  <c r="U11" i="113"/>
  <c r="Q11" i="113"/>
  <c r="O11" i="113"/>
  <c r="N11" i="113"/>
  <c r="Y10" i="113"/>
  <c r="T10" i="113" s="1"/>
  <c r="U10" i="113"/>
  <c r="Q10" i="113"/>
  <c r="O10" i="113"/>
  <c r="N10" i="113"/>
  <c r="U9" i="113"/>
  <c r="Q9" i="113"/>
  <c r="O9" i="113"/>
  <c r="N9" i="113"/>
  <c r="Z8" i="113"/>
  <c r="U8" i="113"/>
  <c r="Q8" i="113"/>
  <c r="O8" i="113"/>
  <c r="N8" i="113"/>
  <c r="K8" i="113"/>
  <c r="J8" i="113"/>
  <c r="I8" i="113"/>
  <c r="U7" i="113"/>
  <c r="Q7" i="113"/>
  <c r="O7" i="113"/>
  <c r="N7" i="113"/>
  <c r="K7" i="113"/>
  <c r="J7" i="113"/>
  <c r="I7" i="113"/>
  <c r="U6" i="113"/>
  <c r="Q6" i="113"/>
  <c r="O6" i="113"/>
  <c r="N6" i="113"/>
  <c r="K6" i="113"/>
  <c r="J6" i="113"/>
  <c r="I6" i="113"/>
  <c r="U5" i="113"/>
  <c r="Q5" i="113"/>
  <c r="O5" i="113"/>
  <c r="N5" i="113"/>
  <c r="K5" i="113"/>
  <c r="J5" i="113"/>
  <c r="I5" i="113"/>
  <c r="AA3" i="113"/>
  <c r="O23" i="111" l="1"/>
  <c r="M23" i="111"/>
  <c r="N23" i="111" s="1"/>
  <c r="L23" i="111"/>
  <c r="U22" i="111"/>
  <c r="Q22" i="111"/>
  <c r="O22" i="111"/>
  <c r="N22" i="111"/>
  <c r="U21" i="111"/>
  <c r="Q21" i="111"/>
  <c r="N21" i="111"/>
  <c r="Z20" i="111"/>
  <c r="Y20" i="111"/>
  <c r="U20" i="111"/>
  <c r="Q20" i="111"/>
  <c r="O20" i="111"/>
  <c r="N20" i="111"/>
  <c r="AA19" i="111"/>
  <c r="Y19" i="111"/>
  <c r="U19" i="111"/>
  <c r="Q19" i="111"/>
  <c r="O19" i="111"/>
  <c r="N19" i="111"/>
  <c r="U18" i="111"/>
  <c r="Q18" i="111"/>
  <c r="N18" i="111"/>
  <c r="Z17" i="111"/>
  <c r="Y17" i="111"/>
  <c r="U17" i="111"/>
  <c r="Q17" i="111"/>
  <c r="O17" i="111"/>
  <c r="N17" i="111"/>
  <c r="Y16" i="111"/>
  <c r="U16" i="111"/>
  <c r="Q16" i="111"/>
  <c r="O16" i="111"/>
  <c r="N16" i="111"/>
  <c r="AB15" i="111"/>
  <c r="Y15" i="111"/>
  <c r="T15" i="111" s="1"/>
  <c r="U15" i="111"/>
  <c r="Q15" i="111"/>
  <c r="O15" i="111"/>
  <c r="N15" i="111"/>
  <c r="U14" i="111"/>
  <c r="Q14" i="111"/>
  <c r="O14" i="111"/>
  <c r="N14" i="111"/>
  <c r="U13" i="111"/>
  <c r="Q13" i="111"/>
  <c r="O13" i="111"/>
  <c r="N13" i="111"/>
  <c r="Y12" i="111"/>
  <c r="U12" i="111"/>
  <c r="Q12" i="111"/>
  <c r="O12" i="111"/>
  <c r="N12" i="111"/>
  <c r="Y11" i="111"/>
  <c r="U11" i="111"/>
  <c r="Q11" i="111"/>
  <c r="O11" i="111"/>
  <c r="N11" i="111"/>
  <c r="Y10" i="111"/>
  <c r="T10" i="111" s="1"/>
  <c r="U10" i="111"/>
  <c r="Q10" i="111"/>
  <c r="O10" i="111"/>
  <c r="N10" i="111"/>
  <c r="U9" i="111"/>
  <c r="Q9" i="111"/>
  <c r="O9" i="111"/>
  <c r="N9" i="111"/>
  <c r="Z8" i="111"/>
  <c r="U8" i="111"/>
  <c r="Q8" i="111"/>
  <c r="O8" i="111"/>
  <c r="N8" i="111"/>
  <c r="K8" i="111"/>
  <c r="J8" i="111"/>
  <c r="I8" i="111"/>
  <c r="U7" i="111"/>
  <c r="Q7" i="111"/>
  <c r="O7" i="111"/>
  <c r="N7" i="111"/>
  <c r="K7" i="111"/>
  <c r="J7" i="111"/>
  <c r="I7" i="111"/>
  <c r="U6" i="111"/>
  <c r="Q6" i="111"/>
  <c r="O6" i="111"/>
  <c r="N6" i="111"/>
  <c r="K6" i="111"/>
  <c r="J6" i="111"/>
  <c r="I6" i="111"/>
  <c r="U5" i="111"/>
  <c r="Q5" i="111"/>
  <c r="O5" i="111"/>
  <c r="N5" i="111"/>
  <c r="K5" i="111"/>
  <c r="J5" i="111"/>
  <c r="I5" i="111"/>
  <c r="AA3" i="111"/>
  <c r="O23" i="112"/>
  <c r="N23" i="112"/>
  <c r="M23" i="112"/>
  <c r="L23" i="112"/>
  <c r="U22" i="112"/>
  <c r="Q22" i="112"/>
  <c r="O22" i="112"/>
  <c r="N22" i="112"/>
  <c r="U21" i="112"/>
  <c r="Q21" i="112"/>
  <c r="N21" i="112"/>
  <c r="Z20" i="112"/>
  <c r="Y20" i="112"/>
  <c r="U20" i="112"/>
  <c r="Q20" i="112"/>
  <c r="O20" i="112"/>
  <c r="N20" i="112"/>
  <c r="AA19" i="112"/>
  <c r="Y19" i="112"/>
  <c r="U19" i="112"/>
  <c r="Q19" i="112"/>
  <c r="O19" i="112"/>
  <c r="N19" i="112"/>
  <c r="U18" i="112"/>
  <c r="Q18" i="112"/>
  <c r="N18" i="112"/>
  <c r="Z17" i="112"/>
  <c r="Y17" i="112"/>
  <c r="U17" i="112"/>
  <c r="Q17" i="112"/>
  <c r="O17" i="112"/>
  <c r="N17" i="112"/>
  <c r="Y16" i="112"/>
  <c r="U16" i="112"/>
  <c r="Q16" i="112"/>
  <c r="O16" i="112"/>
  <c r="N16" i="112"/>
  <c r="AB15" i="112"/>
  <c r="Y15" i="112"/>
  <c r="U15" i="112"/>
  <c r="T15" i="112"/>
  <c r="Q15" i="112"/>
  <c r="O15" i="112"/>
  <c r="N15" i="112"/>
  <c r="U14" i="112"/>
  <c r="Q14" i="112"/>
  <c r="O14" i="112"/>
  <c r="N14" i="112"/>
  <c r="U13" i="112"/>
  <c r="Q13" i="112"/>
  <c r="O13" i="112"/>
  <c r="N13" i="112"/>
  <c r="Y12" i="112"/>
  <c r="U12" i="112"/>
  <c r="Q12" i="112"/>
  <c r="O12" i="112"/>
  <c r="N12" i="112"/>
  <c r="Y11" i="112"/>
  <c r="U11" i="112"/>
  <c r="Q11" i="112"/>
  <c r="O11" i="112"/>
  <c r="N11" i="112"/>
  <c r="Y10" i="112"/>
  <c r="U10" i="112"/>
  <c r="T10" i="112"/>
  <c r="Q10" i="112"/>
  <c r="O10" i="112"/>
  <c r="N10" i="112"/>
  <c r="U9" i="112"/>
  <c r="Q9" i="112"/>
  <c r="O9" i="112"/>
  <c r="N9" i="112"/>
  <c r="Z8" i="112"/>
  <c r="U8" i="112"/>
  <c r="Q8" i="112"/>
  <c r="O8" i="112"/>
  <c r="N8" i="112"/>
  <c r="K8" i="112"/>
  <c r="J8" i="112"/>
  <c r="I8" i="112"/>
  <c r="U7" i="112"/>
  <c r="Q7" i="112"/>
  <c r="O7" i="112"/>
  <c r="N7" i="112"/>
  <c r="K7" i="112"/>
  <c r="J7" i="112"/>
  <c r="I7" i="112"/>
  <c r="U6" i="112"/>
  <c r="Q6" i="112"/>
  <c r="O6" i="112"/>
  <c r="N6" i="112"/>
  <c r="K6" i="112"/>
  <c r="J6" i="112"/>
  <c r="I6" i="112"/>
  <c r="U5" i="112"/>
  <c r="Q5" i="112"/>
  <c r="O5" i="112"/>
  <c r="N5" i="112"/>
  <c r="K5" i="112"/>
  <c r="J5" i="112"/>
  <c r="I5" i="112"/>
  <c r="AA3" i="112"/>
  <c r="O23" i="110" l="1"/>
  <c r="M23" i="110"/>
  <c r="N23" i="110" s="1"/>
  <c r="L23" i="110"/>
  <c r="U22" i="110"/>
  <c r="Q22" i="110"/>
  <c r="O22" i="110"/>
  <c r="N22" i="110"/>
  <c r="U21" i="110"/>
  <c r="Q21" i="110"/>
  <c r="N21" i="110"/>
  <c r="Z20" i="110"/>
  <c r="Y20" i="110"/>
  <c r="U20" i="110"/>
  <c r="Q20" i="110"/>
  <c r="O20" i="110"/>
  <c r="N20" i="110"/>
  <c r="AA19" i="110"/>
  <c r="Y19" i="110"/>
  <c r="U19" i="110"/>
  <c r="Q19" i="110"/>
  <c r="O19" i="110"/>
  <c r="N19" i="110"/>
  <c r="U18" i="110"/>
  <c r="Q18" i="110"/>
  <c r="N18" i="110"/>
  <c r="Z17" i="110"/>
  <c r="Y17" i="110"/>
  <c r="U17" i="110"/>
  <c r="Q17" i="110"/>
  <c r="O17" i="110"/>
  <c r="N17" i="110"/>
  <c r="Y16" i="110"/>
  <c r="U16" i="110"/>
  <c r="Q16" i="110"/>
  <c r="O16" i="110"/>
  <c r="N16" i="110"/>
  <c r="AB15" i="110"/>
  <c r="Y15" i="110"/>
  <c r="U15" i="110"/>
  <c r="T15" i="110"/>
  <c r="Q15" i="110"/>
  <c r="O15" i="110"/>
  <c r="N15" i="110"/>
  <c r="U14" i="110"/>
  <c r="Q14" i="110"/>
  <c r="O14" i="110"/>
  <c r="N14" i="110"/>
  <c r="U13" i="110"/>
  <c r="Q13" i="110"/>
  <c r="O13" i="110"/>
  <c r="N13" i="110"/>
  <c r="Y12" i="110"/>
  <c r="U12" i="110"/>
  <c r="Q12" i="110"/>
  <c r="O12" i="110"/>
  <c r="N12" i="110"/>
  <c r="Y11" i="110"/>
  <c r="U11" i="110"/>
  <c r="Q11" i="110"/>
  <c r="O11" i="110"/>
  <c r="N11" i="110"/>
  <c r="Y10" i="110"/>
  <c r="U10" i="110"/>
  <c r="T10" i="110"/>
  <c r="Q10" i="110"/>
  <c r="O10" i="110"/>
  <c r="N10" i="110"/>
  <c r="U9" i="110"/>
  <c r="Q9" i="110"/>
  <c r="O9" i="110"/>
  <c r="N9" i="110"/>
  <c r="Z8" i="110"/>
  <c r="U8" i="110"/>
  <c r="Q8" i="110"/>
  <c r="O8" i="110"/>
  <c r="N8" i="110"/>
  <c r="K8" i="110"/>
  <c r="J8" i="110"/>
  <c r="I8" i="110"/>
  <c r="U7" i="110"/>
  <c r="Q7" i="110"/>
  <c r="O7" i="110"/>
  <c r="N7" i="110"/>
  <c r="K7" i="110"/>
  <c r="J7" i="110"/>
  <c r="I7" i="110"/>
  <c r="U6" i="110"/>
  <c r="Q6" i="110"/>
  <c r="O6" i="110"/>
  <c r="N6" i="110"/>
  <c r="K6" i="110"/>
  <c r="J6" i="110"/>
  <c r="I6" i="110"/>
  <c r="U5" i="110"/>
  <c r="Q5" i="110"/>
  <c r="O5" i="110"/>
  <c r="N5" i="110"/>
  <c r="K5" i="110"/>
  <c r="J5" i="110"/>
  <c r="I5" i="110"/>
  <c r="AA3" i="110"/>
  <c r="M23" i="109" l="1"/>
  <c r="N23" i="109" s="1"/>
  <c r="L23" i="109"/>
  <c r="O23" i="109" s="1"/>
  <c r="U22" i="109"/>
  <c r="Q22" i="109"/>
  <c r="O22" i="109"/>
  <c r="N22" i="109"/>
  <c r="U21" i="109"/>
  <c r="Q21" i="109"/>
  <c r="N21" i="109"/>
  <c r="Z20" i="109"/>
  <c r="Y20" i="109"/>
  <c r="U20" i="109"/>
  <c r="Q20" i="109"/>
  <c r="O20" i="109"/>
  <c r="N20" i="109"/>
  <c r="AA19" i="109"/>
  <c r="Y19" i="109"/>
  <c r="U19" i="109"/>
  <c r="Q19" i="109"/>
  <c r="O19" i="109"/>
  <c r="N19" i="109"/>
  <c r="U18" i="109"/>
  <c r="Q18" i="109"/>
  <c r="N18" i="109"/>
  <c r="Z17" i="109"/>
  <c r="Y17" i="109"/>
  <c r="U17" i="109"/>
  <c r="Q17" i="109"/>
  <c r="O17" i="109"/>
  <c r="N17" i="109"/>
  <c r="Y16" i="109"/>
  <c r="U16" i="109"/>
  <c r="Q16" i="109"/>
  <c r="O16" i="109"/>
  <c r="N16" i="109"/>
  <c r="AB15" i="109"/>
  <c r="Y15" i="109"/>
  <c r="T15" i="109" s="1"/>
  <c r="U15" i="109"/>
  <c r="Q15" i="109"/>
  <c r="O15" i="109"/>
  <c r="N15" i="109"/>
  <c r="U14" i="109"/>
  <c r="Q14" i="109"/>
  <c r="O14" i="109"/>
  <c r="N14" i="109"/>
  <c r="U13" i="109"/>
  <c r="Q13" i="109"/>
  <c r="O13" i="109"/>
  <c r="N13" i="109"/>
  <c r="Y12" i="109"/>
  <c r="U12" i="109"/>
  <c r="Q12" i="109"/>
  <c r="O12" i="109"/>
  <c r="N12" i="109"/>
  <c r="Y11" i="109"/>
  <c r="U11" i="109"/>
  <c r="Q11" i="109"/>
  <c r="O11" i="109"/>
  <c r="N11" i="109"/>
  <c r="Y10" i="109"/>
  <c r="T10" i="109" s="1"/>
  <c r="U10" i="109"/>
  <c r="Q10" i="109"/>
  <c r="O10" i="109"/>
  <c r="N10" i="109"/>
  <c r="U9" i="109"/>
  <c r="Q9" i="109"/>
  <c r="O9" i="109"/>
  <c r="N9" i="109"/>
  <c r="Z8" i="109"/>
  <c r="U8" i="109"/>
  <c r="Q8" i="109"/>
  <c r="O8" i="109"/>
  <c r="N8" i="109"/>
  <c r="K8" i="109"/>
  <c r="J8" i="109"/>
  <c r="I8" i="109"/>
  <c r="U7" i="109"/>
  <c r="Q7" i="109"/>
  <c r="O7" i="109"/>
  <c r="N7" i="109"/>
  <c r="K7" i="109"/>
  <c r="J7" i="109"/>
  <c r="I7" i="109"/>
  <c r="U6" i="109"/>
  <c r="Q6" i="109"/>
  <c r="O6" i="109"/>
  <c r="N6" i="109"/>
  <c r="K6" i="109"/>
  <c r="J6" i="109"/>
  <c r="I6" i="109"/>
  <c r="U5" i="109"/>
  <c r="Q5" i="109"/>
  <c r="O5" i="109"/>
  <c r="N5" i="109"/>
  <c r="K5" i="109"/>
  <c r="J5" i="109"/>
  <c r="I5" i="109"/>
  <c r="AA3" i="109"/>
  <c r="O23" i="108" l="1"/>
  <c r="M23" i="108"/>
  <c r="N23" i="108" s="1"/>
  <c r="L23" i="108"/>
  <c r="U22" i="108"/>
  <c r="Q22" i="108"/>
  <c r="O22" i="108"/>
  <c r="N22" i="108"/>
  <c r="U21" i="108"/>
  <c r="Q21" i="108"/>
  <c r="N21" i="108"/>
  <c r="Z20" i="108"/>
  <c r="Y20" i="108"/>
  <c r="U20" i="108"/>
  <c r="Q20" i="108"/>
  <c r="O20" i="108"/>
  <c r="N20" i="108"/>
  <c r="AA19" i="108"/>
  <c r="Y19" i="108"/>
  <c r="U19" i="108"/>
  <c r="Q19" i="108"/>
  <c r="O19" i="108"/>
  <c r="N19" i="108"/>
  <c r="U18" i="108"/>
  <c r="Q18" i="108"/>
  <c r="N18" i="108"/>
  <c r="Z17" i="108"/>
  <c r="Y17" i="108"/>
  <c r="U17" i="108"/>
  <c r="Q17" i="108"/>
  <c r="O17" i="108"/>
  <c r="N17" i="108"/>
  <c r="Y16" i="108"/>
  <c r="U16" i="108"/>
  <c r="Q16" i="108"/>
  <c r="O16" i="108"/>
  <c r="N16" i="108"/>
  <c r="AB15" i="108"/>
  <c r="Y15" i="108"/>
  <c r="U15" i="108"/>
  <c r="T15" i="108"/>
  <c r="Q15" i="108"/>
  <c r="O15" i="108"/>
  <c r="N15" i="108"/>
  <c r="U14" i="108"/>
  <c r="Q14" i="108"/>
  <c r="O14" i="108"/>
  <c r="N14" i="108"/>
  <c r="U13" i="108"/>
  <c r="Q13" i="108"/>
  <c r="O13" i="108"/>
  <c r="N13" i="108"/>
  <c r="Y12" i="108"/>
  <c r="U12" i="108"/>
  <c r="Q12" i="108"/>
  <c r="O12" i="108"/>
  <c r="N12" i="108"/>
  <c r="Y11" i="108"/>
  <c r="U11" i="108"/>
  <c r="Q11" i="108"/>
  <c r="O11" i="108"/>
  <c r="N11" i="108"/>
  <c r="Y10" i="108"/>
  <c r="U10" i="108"/>
  <c r="T10" i="108"/>
  <c r="Q10" i="108"/>
  <c r="O10" i="108"/>
  <c r="N10" i="108"/>
  <c r="U9" i="108"/>
  <c r="Q9" i="108"/>
  <c r="O9" i="108"/>
  <c r="N9" i="108"/>
  <c r="Z8" i="108"/>
  <c r="U8" i="108"/>
  <c r="Q8" i="108"/>
  <c r="O8" i="108"/>
  <c r="N8" i="108"/>
  <c r="K8" i="108"/>
  <c r="J8" i="108"/>
  <c r="I8" i="108"/>
  <c r="U7" i="108"/>
  <c r="Q7" i="108"/>
  <c r="O7" i="108"/>
  <c r="N7" i="108"/>
  <c r="K7" i="108"/>
  <c r="J7" i="108"/>
  <c r="I7" i="108"/>
  <c r="U6" i="108"/>
  <c r="Q6" i="108"/>
  <c r="O6" i="108"/>
  <c r="N6" i="108"/>
  <c r="K6" i="108"/>
  <c r="J6" i="108"/>
  <c r="I6" i="108"/>
  <c r="U5" i="108"/>
  <c r="Q5" i="108"/>
  <c r="O5" i="108"/>
  <c r="N5" i="108"/>
  <c r="K5" i="108"/>
  <c r="J5" i="108"/>
  <c r="I5" i="108"/>
  <c r="AA3" i="108"/>
  <c r="O23" i="107" l="1"/>
  <c r="M23" i="107"/>
  <c r="N23" i="107" s="1"/>
  <c r="L23" i="107"/>
  <c r="U22" i="107"/>
  <c r="Q22" i="107"/>
  <c r="O22" i="107"/>
  <c r="N22" i="107"/>
  <c r="U21" i="107"/>
  <c r="Q21" i="107"/>
  <c r="N21" i="107"/>
  <c r="Z20" i="107"/>
  <c r="Y20" i="107"/>
  <c r="U20" i="107"/>
  <c r="Q20" i="107"/>
  <c r="O20" i="107"/>
  <c r="N20" i="107"/>
  <c r="AA19" i="107"/>
  <c r="Y19" i="107"/>
  <c r="U19" i="107"/>
  <c r="Q19" i="107"/>
  <c r="O19" i="107"/>
  <c r="N19" i="107"/>
  <c r="U18" i="107"/>
  <c r="Q18" i="107"/>
  <c r="N18" i="107"/>
  <c r="Z17" i="107"/>
  <c r="Y17" i="107"/>
  <c r="U17" i="107"/>
  <c r="Q17" i="107"/>
  <c r="O17" i="107"/>
  <c r="N17" i="107"/>
  <c r="Y16" i="107"/>
  <c r="U16" i="107"/>
  <c r="Q16" i="107"/>
  <c r="O16" i="107"/>
  <c r="N16" i="107"/>
  <c r="AB15" i="107"/>
  <c r="Y15" i="107"/>
  <c r="T15" i="107" s="1"/>
  <c r="U15" i="107"/>
  <c r="Q15" i="107"/>
  <c r="O15" i="107"/>
  <c r="N15" i="107"/>
  <c r="U14" i="107"/>
  <c r="Q14" i="107"/>
  <c r="O14" i="107"/>
  <c r="N14" i="107"/>
  <c r="U13" i="107"/>
  <c r="Q13" i="107"/>
  <c r="O13" i="107"/>
  <c r="N13" i="107"/>
  <c r="Y12" i="107"/>
  <c r="U12" i="107"/>
  <c r="Q12" i="107"/>
  <c r="O12" i="107"/>
  <c r="N12" i="107"/>
  <c r="Y11" i="107"/>
  <c r="U11" i="107"/>
  <c r="Q11" i="107"/>
  <c r="O11" i="107"/>
  <c r="N11" i="107"/>
  <c r="Y10" i="107"/>
  <c r="T10" i="107" s="1"/>
  <c r="U10" i="107"/>
  <c r="Q10" i="107"/>
  <c r="O10" i="107"/>
  <c r="N10" i="107"/>
  <c r="U9" i="107"/>
  <c r="Q9" i="107"/>
  <c r="O9" i="107"/>
  <c r="N9" i="107"/>
  <c r="Z8" i="107"/>
  <c r="U8" i="107"/>
  <c r="Q8" i="107"/>
  <c r="O8" i="107"/>
  <c r="N8" i="107"/>
  <c r="K8" i="107"/>
  <c r="J8" i="107"/>
  <c r="I8" i="107"/>
  <c r="U7" i="107"/>
  <c r="Q7" i="107"/>
  <c r="O7" i="107"/>
  <c r="N7" i="107"/>
  <c r="K7" i="107"/>
  <c r="J7" i="107"/>
  <c r="I7" i="107"/>
  <c r="U6" i="107"/>
  <c r="Q6" i="107"/>
  <c r="O6" i="107"/>
  <c r="N6" i="107"/>
  <c r="K6" i="107"/>
  <c r="J6" i="107"/>
  <c r="I6" i="107"/>
  <c r="U5" i="107"/>
  <c r="Q5" i="107"/>
  <c r="O5" i="107"/>
  <c r="N5" i="107"/>
  <c r="K5" i="107"/>
  <c r="J5" i="107"/>
  <c r="I5" i="107"/>
  <c r="AA3" i="107"/>
  <c r="M23" i="106" l="1"/>
  <c r="N23" i="106" s="1"/>
  <c r="L23" i="106"/>
  <c r="O23" i="106" s="1"/>
  <c r="U22" i="106"/>
  <c r="Q22" i="106"/>
  <c r="O22" i="106"/>
  <c r="N22" i="106"/>
  <c r="U21" i="106"/>
  <c r="Q21" i="106"/>
  <c r="N21" i="106"/>
  <c r="Z20" i="106"/>
  <c r="Y20" i="106"/>
  <c r="U20" i="106"/>
  <c r="Q20" i="106"/>
  <c r="O20" i="106"/>
  <c r="N20" i="106"/>
  <c r="AA19" i="106"/>
  <c r="Y19" i="106"/>
  <c r="U19" i="106"/>
  <c r="Q19" i="106"/>
  <c r="O19" i="106"/>
  <c r="N19" i="106"/>
  <c r="U18" i="106"/>
  <c r="Q18" i="106"/>
  <c r="N18" i="106"/>
  <c r="Z17" i="106"/>
  <c r="Y17" i="106"/>
  <c r="U17" i="106"/>
  <c r="Q17" i="106"/>
  <c r="O17" i="106"/>
  <c r="N17" i="106"/>
  <c r="Y16" i="106"/>
  <c r="U16" i="106"/>
  <c r="Q16" i="106"/>
  <c r="O16" i="106"/>
  <c r="N16" i="106"/>
  <c r="AB15" i="106"/>
  <c r="Y15" i="106"/>
  <c r="T15" i="106" s="1"/>
  <c r="U15" i="106"/>
  <c r="Q15" i="106"/>
  <c r="O15" i="106"/>
  <c r="N15" i="106"/>
  <c r="U14" i="106"/>
  <c r="Q14" i="106"/>
  <c r="O14" i="106"/>
  <c r="N14" i="106"/>
  <c r="U13" i="106"/>
  <c r="Q13" i="106"/>
  <c r="O13" i="106"/>
  <c r="N13" i="106"/>
  <c r="Y12" i="106"/>
  <c r="U12" i="106"/>
  <c r="Q12" i="106"/>
  <c r="O12" i="106"/>
  <c r="N12" i="106"/>
  <c r="Y11" i="106"/>
  <c r="U11" i="106"/>
  <c r="Q11" i="106"/>
  <c r="O11" i="106"/>
  <c r="N11" i="106"/>
  <c r="Y10" i="106"/>
  <c r="T10" i="106" s="1"/>
  <c r="U10" i="106"/>
  <c r="Q10" i="106"/>
  <c r="O10" i="106"/>
  <c r="N10" i="106"/>
  <c r="U9" i="106"/>
  <c r="Q9" i="106"/>
  <c r="O9" i="106"/>
  <c r="N9" i="106"/>
  <c r="Z8" i="106"/>
  <c r="U8" i="106"/>
  <c r="Q8" i="106"/>
  <c r="O8" i="106"/>
  <c r="N8" i="106"/>
  <c r="K8" i="106"/>
  <c r="J8" i="106"/>
  <c r="I8" i="106"/>
  <c r="U7" i="106"/>
  <c r="Q7" i="106"/>
  <c r="O7" i="106"/>
  <c r="N7" i="106"/>
  <c r="K7" i="106"/>
  <c r="J7" i="106"/>
  <c r="I7" i="106"/>
  <c r="U6" i="106"/>
  <c r="Q6" i="106"/>
  <c r="O6" i="106"/>
  <c r="N6" i="106"/>
  <c r="K6" i="106"/>
  <c r="J6" i="106"/>
  <c r="I6" i="106"/>
  <c r="U5" i="106"/>
  <c r="Q5" i="106"/>
  <c r="O5" i="106"/>
  <c r="N5" i="106"/>
  <c r="K5" i="106"/>
  <c r="J5" i="106"/>
  <c r="I5" i="106"/>
  <c r="AA3" i="106"/>
  <c r="M23" i="105" l="1"/>
  <c r="N23" i="105" s="1"/>
  <c r="L23" i="105"/>
  <c r="O23" i="105" s="1"/>
  <c r="U22" i="105"/>
  <c r="Q22" i="105"/>
  <c r="O22" i="105"/>
  <c r="N22" i="105"/>
  <c r="U21" i="105"/>
  <c r="Q21" i="105"/>
  <c r="N21" i="105"/>
  <c r="Z20" i="105"/>
  <c r="Y20" i="105"/>
  <c r="U20" i="105"/>
  <c r="Q20" i="105"/>
  <c r="O20" i="105"/>
  <c r="N20" i="105"/>
  <c r="AA19" i="105"/>
  <c r="Y19" i="105"/>
  <c r="U19" i="105"/>
  <c r="Q19" i="105"/>
  <c r="O19" i="105"/>
  <c r="N19" i="105"/>
  <c r="U18" i="105"/>
  <c r="Q18" i="105"/>
  <c r="N18" i="105"/>
  <c r="Z17" i="105"/>
  <c r="Y17" i="105"/>
  <c r="U17" i="105"/>
  <c r="Q17" i="105"/>
  <c r="O17" i="105"/>
  <c r="N17" i="105"/>
  <c r="Y16" i="105"/>
  <c r="U16" i="105"/>
  <c r="Q16" i="105"/>
  <c r="O16" i="105"/>
  <c r="N16" i="105"/>
  <c r="AB15" i="105"/>
  <c r="Y15" i="105"/>
  <c r="T15" i="105" s="1"/>
  <c r="U15" i="105"/>
  <c r="Q15" i="105"/>
  <c r="O15" i="105"/>
  <c r="N15" i="105"/>
  <c r="U14" i="105"/>
  <c r="Q14" i="105"/>
  <c r="O14" i="105"/>
  <c r="N14" i="105"/>
  <c r="U13" i="105"/>
  <c r="Q13" i="105"/>
  <c r="O13" i="105"/>
  <c r="N13" i="105"/>
  <c r="Y12" i="105"/>
  <c r="U12" i="105"/>
  <c r="Q12" i="105"/>
  <c r="O12" i="105"/>
  <c r="N12" i="105"/>
  <c r="Y11" i="105"/>
  <c r="U11" i="105"/>
  <c r="Q11" i="105"/>
  <c r="O11" i="105"/>
  <c r="N11" i="105"/>
  <c r="Y10" i="105"/>
  <c r="T10" i="105" s="1"/>
  <c r="U10" i="105"/>
  <c r="Q10" i="105"/>
  <c r="O10" i="105"/>
  <c r="N10" i="105"/>
  <c r="U9" i="105"/>
  <c r="Q9" i="105"/>
  <c r="O9" i="105"/>
  <c r="N9" i="105"/>
  <c r="Z8" i="105"/>
  <c r="U8" i="105"/>
  <c r="Q8" i="105"/>
  <c r="O8" i="105"/>
  <c r="N8" i="105"/>
  <c r="K8" i="105"/>
  <c r="J8" i="105"/>
  <c r="I8" i="105"/>
  <c r="U7" i="105"/>
  <c r="Q7" i="105"/>
  <c r="O7" i="105"/>
  <c r="N7" i="105"/>
  <c r="K7" i="105"/>
  <c r="J7" i="105"/>
  <c r="I7" i="105"/>
  <c r="U6" i="105"/>
  <c r="Q6" i="105"/>
  <c r="O6" i="105"/>
  <c r="N6" i="105"/>
  <c r="K6" i="105"/>
  <c r="J6" i="105"/>
  <c r="I6" i="105"/>
  <c r="U5" i="105"/>
  <c r="Q5" i="105"/>
  <c r="O5" i="105"/>
  <c r="N5" i="105"/>
  <c r="K5" i="105"/>
  <c r="J5" i="105"/>
  <c r="I5" i="105"/>
  <c r="AA3" i="105"/>
  <c r="O23" i="104"/>
  <c r="M23" i="104"/>
  <c r="N23" i="104" s="1"/>
  <c r="L23" i="104"/>
  <c r="U22" i="104"/>
  <c r="Q22" i="104"/>
  <c r="O22" i="104"/>
  <c r="N22" i="104"/>
  <c r="U21" i="104"/>
  <c r="Q21" i="104"/>
  <c r="N21" i="104"/>
  <c r="Z20" i="104"/>
  <c r="Y20" i="104"/>
  <c r="U20" i="104"/>
  <c r="Q20" i="104"/>
  <c r="O20" i="104"/>
  <c r="N20" i="104"/>
  <c r="AA19" i="104"/>
  <c r="Y19" i="104"/>
  <c r="U19" i="104"/>
  <c r="Q19" i="104"/>
  <c r="O19" i="104"/>
  <c r="N19" i="104"/>
  <c r="U18" i="104"/>
  <c r="Q18" i="104"/>
  <c r="N18" i="104"/>
  <c r="Z17" i="104"/>
  <c r="Y17" i="104"/>
  <c r="U17" i="104"/>
  <c r="Q17" i="104"/>
  <c r="O17" i="104"/>
  <c r="N17" i="104"/>
  <c r="Y16" i="104"/>
  <c r="U16" i="104"/>
  <c r="Q16" i="104"/>
  <c r="O16" i="104"/>
  <c r="N16" i="104"/>
  <c r="AB15" i="104"/>
  <c r="Y15" i="104"/>
  <c r="T15" i="104" s="1"/>
  <c r="U15" i="104"/>
  <c r="Q15" i="104"/>
  <c r="O15" i="104"/>
  <c r="N15" i="104"/>
  <c r="U14" i="104"/>
  <c r="Q14" i="104"/>
  <c r="O14" i="104"/>
  <c r="N14" i="104"/>
  <c r="U13" i="104"/>
  <c r="Q13" i="104"/>
  <c r="O13" i="104"/>
  <c r="N13" i="104"/>
  <c r="Y12" i="104"/>
  <c r="U12" i="104"/>
  <c r="Q12" i="104"/>
  <c r="O12" i="104"/>
  <c r="N12" i="104"/>
  <c r="Y11" i="104"/>
  <c r="U11" i="104"/>
  <c r="Q11" i="104"/>
  <c r="O11" i="104"/>
  <c r="N11" i="104"/>
  <c r="Y10" i="104"/>
  <c r="T10" i="104" s="1"/>
  <c r="U10" i="104"/>
  <c r="Q10" i="104"/>
  <c r="O10" i="104"/>
  <c r="N10" i="104"/>
  <c r="U9" i="104"/>
  <c r="Q9" i="104"/>
  <c r="O9" i="104"/>
  <c r="N9" i="104"/>
  <c r="Z8" i="104"/>
  <c r="U8" i="104"/>
  <c r="Q8" i="104"/>
  <c r="O8" i="104"/>
  <c r="N8" i="104"/>
  <c r="K8" i="104"/>
  <c r="J8" i="104"/>
  <c r="I8" i="104"/>
  <c r="U7" i="104"/>
  <c r="Q7" i="104"/>
  <c r="O7" i="104"/>
  <c r="N7" i="104"/>
  <c r="K7" i="104"/>
  <c r="J7" i="104"/>
  <c r="I7" i="104"/>
  <c r="U6" i="104"/>
  <c r="Q6" i="104"/>
  <c r="O6" i="104"/>
  <c r="N6" i="104"/>
  <c r="K6" i="104"/>
  <c r="J6" i="104"/>
  <c r="I6" i="104"/>
  <c r="U5" i="104"/>
  <c r="Q5" i="104"/>
  <c r="O5" i="104"/>
  <c r="N5" i="104"/>
  <c r="K5" i="104"/>
  <c r="J5" i="104"/>
  <c r="I5" i="104"/>
  <c r="AA3" i="104"/>
  <c r="O23" i="103"/>
  <c r="M23" i="103"/>
  <c r="N23" i="103" s="1"/>
  <c r="L23" i="103"/>
  <c r="U22" i="103"/>
  <c r="Q22" i="103"/>
  <c r="O22" i="103"/>
  <c r="N22" i="103"/>
  <c r="U21" i="103"/>
  <c r="Q21" i="103"/>
  <c r="N21" i="103"/>
  <c r="Z20" i="103"/>
  <c r="Y20" i="103"/>
  <c r="U20" i="103"/>
  <c r="Q20" i="103"/>
  <c r="O20" i="103"/>
  <c r="N20" i="103"/>
  <c r="AA19" i="103"/>
  <c r="Y19" i="103"/>
  <c r="U19" i="103"/>
  <c r="Q19" i="103"/>
  <c r="O19" i="103"/>
  <c r="N19" i="103"/>
  <c r="U18" i="103"/>
  <c r="Q18" i="103"/>
  <c r="N18" i="103"/>
  <c r="Z17" i="103"/>
  <c r="Y17" i="103"/>
  <c r="U17" i="103"/>
  <c r="Q17" i="103"/>
  <c r="O17" i="103"/>
  <c r="N17" i="103"/>
  <c r="Y16" i="103"/>
  <c r="U16" i="103"/>
  <c r="Q16" i="103"/>
  <c r="O16" i="103"/>
  <c r="N16" i="103"/>
  <c r="AB15" i="103"/>
  <c r="Y15" i="103"/>
  <c r="T15" i="103" s="1"/>
  <c r="U15" i="103"/>
  <c r="Q15" i="103"/>
  <c r="O15" i="103"/>
  <c r="N15" i="103"/>
  <c r="U14" i="103"/>
  <c r="Q14" i="103"/>
  <c r="O14" i="103"/>
  <c r="N14" i="103"/>
  <c r="U13" i="103"/>
  <c r="Q13" i="103"/>
  <c r="O13" i="103"/>
  <c r="N13" i="103"/>
  <c r="Y12" i="103"/>
  <c r="U12" i="103"/>
  <c r="Q12" i="103"/>
  <c r="O12" i="103"/>
  <c r="N12" i="103"/>
  <c r="Y11" i="103"/>
  <c r="U11" i="103"/>
  <c r="Q11" i="103"/>
  <c r="O11" i="103"/>
  <c r="N11" i="103"/>
  <c r="Y10" i="103"/>
  <c r="T10" i="103" s="1"/>
  <c r="U10" i="103"/>
  <c r="Q10" i="103"/>
  <c r="O10" i="103"/>
  <c r="N10" i="103"/>
  <c r="U9" i="103"/>
  <c r="Q9" i="103"/>
  <c r="O9" i="103"/>
  <c r="N9" i="103"/>
  <c r="Z8" i="103"/>
  <c r="U8" i="103"/>
  <c r="Q8" i="103"/>
  <c r="O8" i="103"/>
  <c r="N8" i="103"/>
  <c r="K8" i="103"/>
  <c r="J8" i="103"/>
  <c r="I8" i="103"/>
  <c r="U7" i="103"/>
  <c r="Q7" i="103"/>
  <c r="O7" i="103"/>
  <c r="N7" i="103"/>
  <c r="K7" i="103"/>
  <c r="J7" i="103"/>
  <c r="I7" i="103"/>
  <c r="U6" i="103"/>
  <c r="Q6" i="103"/>
  <c r="O6" i="103"/>
  <c r="N6" i="103"/>
  <c r="K6" i="103"/>
  <c r="J6" i="103"/>
  <c r="I6" i="103"/>
  <c r="U5" i="103"/>
  <c r="Q5" i="103"/>
  <c r="O5" i="103"/>
  <c r="N5" i="103"/>
  <c r="K5" i="103"/>
  <c r="J5" i="103"/>
  <c r="I5" i="103"/>
  <c r="AA3" i="103"/>
  <c r="O23" i="102" l="1"/>
  <c r="M23" i="102"/>
  <c r="N23" i="102" s="1"/>
  <c r="L23" i="102"/>
  <c r="U22" i="102"/>
  <c r="Q22" i="102"/>
  <c r="O22" i="102"/>
  <c r="N22" i="102"/>
  <c r="U21" i="102"/>
  <c r="Q21" i="102"/>
  <c r="N21" i="102"/>
  <c r="Z20" i="102"/>
  <c r="Y20" i="102"/>
  <c r="U20" i="102"/>
  <c r="Q20" i="102"/>
  <c r="O20" i="102"/>
  <c r="N20" i="102"/>
  <c r="AA19" i="102"/>
  <c r="Y19" i="102"/>
  <c r="U19" i="102"/>
  <c r="Q19" i="102"/>
  <c r="O19" i="102"/>
  <c r="N19" i="102"/>
  <c r="U18" i="102"/>
  <c r="Q18" i="102"/>
  <c r="N18" i="102"/>
  <c r="Z17" i="102"/>
  <c r="Y17" i="102"/>
  <c r="U17" i="102"/>
  <c r="Q17" i="102"/>
  <c r="O17" i="102"/>
  <c r="N17" i="102"/>
  <c r="Y16" i="102"/>
  <c r="U16" i="102"/>
  <c r="Q16" i="102"/>
  <c r="O16" i="102"/>
  <c r="N16" i="102"/>
  <c r="AB15" i="102"/>
  <c r="Y15" i="102"/>
  <c r="U15" i="102"/>
  <c r="Q15" i="102"/>
  <c r="O15" i="102"/>
  <c r="N15" i="102"/>
  <c r="U14" i="102"/>
  <c r="Q14" i="102"/>
  <c r="O14" i="102"/>
  <c r="N14" i="102"/>
  <c r="U13" i="102"/>
  <c r="Q13" i="102"/>
  <c r="O13" i="102"/>
  <c r="N13" i="102"/>
  <c r="Y12" i="102"/>
  <c r="U12" i="102"/>
  <c r="Q12" i="102"/>
  <c r="O12" i="102"/>
  <c r="N12" i="102"/>
  <c r="Y11" i="102"/>
  <c r="U11" i="102"/>
  <c r="Q11" i="102"/>
  <c r="O11" i="102"/>
  <c r="N11" i="102"/>
  <c r="Y10" i="102"/>
  <c r="U10" i="102"/>
  <c r="T10" i="102"/>
  <c r="Q10" i="102"/>
  <c r="O10" i="102"/>
  <c r="N10" i="102"/>
  <c r="U9" i="102"/>
  <c r="Q9" i="102"/>
  <c r="O9" i="102"/>
  <c r="N9" i="102"/>
  <c r="Z8" i="102"/>
  <c r="U8" i="102"/>
  <c r="Q8" i="102"/>
  <c r="O8" i="102"/>
  <c r="N8" i="102"/>
  <c r="K8" i="102"/>
  <c r="J8" i="102"/>
  <c r="I8" i="102"/>
  <c r="U7" i="102"/>
  <c r="Q7" i="102"/>
  <c r="O7" i="102"/>
  <c r="N7" i="102"/>
  <c r="K7" i="102"/>
  <c r="J7" i="102"/>
  <c r="I7" i="102"/>
  <c r="U6" i="102"/>
  <c r="Q6" i="102"/>
  <c r="O6" i="102"/>
  <c r="N6" i="102"/>
  <c r="K6" i="102"/>
  <c r="J6" i="102"/>
  <c r="I6" i="102"/>
  <c r="U5" i="102"/>
  <c r="Q5" i="102"/>
  <c r="O5" i="102"/>
  <c r="N5" i="102"/>
  <c r="K5" i="102"/>
  <c r="J5" i="102"/>
  <c r="I5" i="102"/>
  <c r="AA3" i="102"/>
  <c r="M23" i="101" l="1"/>
  <c r="N23" i="101" s="1"/>
  <c r="L23" i="101"/>
  <c r="O23" i="101" s="1"/>
  <c r="U22" i="101"/>
  <c r="Q22" i="101"/>
  <c r="O22" i="101"/>
  <c r="N22" i="101"/>
  <c r="U21" i="101"/>
  <c r="Q21" i="101"/>
  <c r="N21" i="101"/>
  <c r="Z20" i="101"/>
  <c r="Y20" i="101"/>
  <c r="U20" i="101"/>
  <c r="Q20" i="101"/>
  <c r="O20" i="101"/>
  <c r="N20" i="101"/>
  <c r="AA19" i="101"/>
  <c r="Y19" i="101"/>
  <c r="U19" i="101"/>
  <c r="Q19" i="101"/>
  <c r="O19" i="101"/>
  <c r="N19" i="101"/>
  <c r="U18" i="101"/>
  <c r="Q18" i="101"/>
  <c r="N18" i="101"/>
  <c r="Z17" i="101"/>
  <c r="Y17" i="101"/>
  <c r="U17" i="101"/>
  <c r="Q17" i="101"/>
  <c r="O17" i="101"/>
  <c r="N17" i="101"/>
  <c r="Y16" i="101"/>
  <c r="U16" i="101"/>
  <c r="Q16" i="101"/>
  <c r="O16" i="101"/>
  <c r="N16" i="101"/>
  <c r="AB15" i="101"/>
  <c r="Y15" i="101"/>
  <c r="U15" i="101"/>
  <c r="Q15" i="101"/>
  <c r="O15" i="101"/>
  <c r="N15" i="101"/>
  <c r="U14" i="101"/>
  <c r="Q14" i="101"/>
  <c r="O14" i="101"/>
  <c r="N14" i="101"/>
  <c r="U13" i="101"/>
  <c r="Q13" i="101"/>
  <c r="O13" i="101"/>
  <c r="N13" i="101"/>
  <c r="Y12" i="101"/>
  <c r="U12" i="101"/>
  <c r="Q12" i="101"/>
  <c r="O12" i="101"/>
  <c r="N12" i="101"/>
  <c r="Y11" i="101"/>
  <c r="U11" i="101"/>
  <c r="Q11" i="101"/>
  <c r="O11" i="101"/>
  <c r="N11" i="101"/>
  <c r="Y10" i="101"/>
  <c r="T10" i="101" s="1"/>
  <c r="U10" i="101"/>
  <c r="Q10" i="101"/>
  <c r="O10" i="101"/>
  <c r="N10" i="101"/>
  <c r="U9" i="101"/>
  <c r="Q9" i="101"/>
  <c r="O9" i="101"/>
  <c r="N9" i="101"/>
  <c r="Z8" i="101"/>
  <c r="U8" i="101"/>
  <c r="Q8" i="101"/>
  <c r="O8" i="101"/>
  <c r="N8" i="101"/>
  <c r="K8" i="101"/>
  <c r="J8" i="101"/>
  <c r="I8" i="101"/>
  <c r="U7" i="101"/>
  <c r="Q7" i="101"/>
  <c r="O7" i="101"/>
  <c r="N7" i="101"/>
  <c r="K7" i="101"/>
  <c r="J7" i="101"/>
  <c r="I7" i="101"/>
  <c r="U6" i="101"/>
  <c r="Q6" i="101"/>
  <c r="O6" i="101"/>
  <c r="N6" i="101"/>
  <c r="K6" i="101"/>
  <c r="J6" i="101"/>
  <c r="I6" i="101"/>
  <c r="U5" i="101"/>
  <c r="Q5" i="101"/>
  <c r="O5" i="101"/>
  <c r="N5" i="101"/>
  <c r="K5" i="101"/>
  <c r="J5" i="101"/>
  <c r="I5" i="101"/>
  <c r="AA3" i="101"/>
  <c r="M23" i="100" l="1"/>
  <c r="N23" i="100" s="1"/>
  <c r="L23" i="100"/>
  <c r="O23" i="100" s="1"/>
  <c r="U22" i="100"/>
  <c r="Q22" i="100"/>
  <c r="O22" i="100"/>
  <c r="N22" i="100"/>
  <c r="U21" i="100"/>
  <c r="Q21" i="100"/>
  <c r="N21" i="100"/>
  <c r="Z20" i="100"/>
  <c r="Y20" i="100"/>
  <c r="U20" i="100"/>
  <c r="Q20" i="100"/>
  <c r="O20" i="100"/>
  <c r="N20" i="100"/>
  <c r="AA19" i="100"/>
  <c r="Y19" i="100"/>
  <c r="U19" i="100"/>
  <c r="Q19" i="100"/>
  <c r="O19" i="100"/>
  <c r="N19" i="100"/>
  <c r="U18" i="100"/>
  <c r="Q18" i="100"/>
  <c r="N18" i="100"/>
  <c r="Z17" i="100"/>
  <c r="Y17" i="100"/>
  <c r="U17" i="100"/>
  <c r="Q17" i="100"/>
  <c r="O17" i="100"/>
  <c r="N17" i="100"/>
  <c r="Y16" i="100"/>
  <c r="U16" i="100"/>
  <c r="Q16" i="100"/>
  <c r="O16" i="100"/>
  <c r="N16" i="100"/>
  <c r="AB15" i="100"/>
  <c r="U15" i="100"/>
  <c r="Q15" i="100"/>
  <c r="O15" i="100"/>
  <c r="N15" i="100"/>
  <c r="U14" i="100"/>
  <c r="Q14" i="100"/>
  <c r="O14" i="100"/>
  <c r="N14" i="100"/>
  <c r="U13" i="100"/>
  <c r="Q13" i="100"/>
  <c r="O13" i="100"/>
  <c r="N13" i="100"/>
  <c r="Y12" i="100"/>
  <c r="U12" i="100"/>
  <c r="Q12" i="100"/>
  <c r="O12" i="100"/>
  <c r="N12" i="100"/>
  <c r="Y11" i="100"/>
  <c r="U11" i="100"/>
  <c r="Q11" i="100"/>
  <c r="O11" i="100"/>
  <c r="N11" i="100"/>
  <c r="Y10" i="100"/>
  <c r="U10" i="100"/>
  <c r="T10" i="100"/>
  <c r="Q10" i="100"/>
  <c r="O10" i="100"/>
  <c r="N10" i="100"/>
  <c r="U9" i="100"/>
  <c r="Q9" i="100"/>
  <c r="O9" i="100"/>
  <c r="N9" i="100"/>
  <c r="Z8" i="100"/>
  <c r="U8" i="100"/>
  <c r="Q8" i="100"/>
  <c r="O8" i="100"/>
  <c r="N8" i="100"/>
  <c r="K8" i="100"/>
  <c r="J8" i="100"/>
  <c r="I8" i="100"/>
  <c r="U7" i="100"/>
  <c r="Q7" i="100"/>
  <c r="O7" i="100"/>
  <c r="N7" i="100"/>
  <c r="K7" i="100"/>
  <c r="J7" i="100"/>
  <c r="I7" i="100"/>
  <c r="U6" i="100"/>
  <c r="Q6" i="100"/>
  <c r="O6" i="100"/>
  <c r="N6" i="100"/>
  <c r="K6" i="100"/>
  <c r="J6" i="100"/>
  <c r="I6" i="100"/>
  <c r="U5" i="100"/>
  <c r="Q5" i="100"/>
  <c r="O5" i="100"/>
  <c r="N5" i="100"/>
  <c r="K5" i="100"/>
  <c r="J5" i="100"/>
  <c r="I5" i="100"/>
  <c r="AA3" i="100"/>
  <c r="O23" i="99" l="1"/>
  <c r="N23" i="99"/>
  <c r="M23" i="99"/>
  <c r="L23" i="99"/>
  <c r="U22" i="99"/>
  <c r="Q22" i="99"/>
  <c r="O22" i="99"/>
  <c r="N22" i="99"/>
  <c r="U21" i="99"/>
  <c r="Q21" i="99"/>
  <c r="N21" i="99"/>
  <c r="Z20" i="99"/>
  <c r="Y20" i="99"/>
  <c r="U20" i="99"/>
  <c r="Q20" i="99"/>
  <c r="O20" i="99"/>
  <c r="N20" i="99"/>
  <c r="AA19" i="99"/>
  <c r="Y19" i="99"/>
  <c r="U19" i="99"/>
  <c r="Q19" i="99"/>
  <c r="O19" i="99"/>
  <c r="N19" i="99"/>
  <c r="U18" i="99"/>
  <c r="Q18" i="99"/>
  <c r="N18" i="99"/>
  <c r="Z17" i="99"/>
  <c r="Y17" i="99"/>
  <c r="U17" i="99"/>
  <c r="Q17" i="99"/>
  <c r="O17" i="99"/>
  <c r="N17" i="99"/>
  <c r="Y16" i="99"/>
  <c r="U16" i="99"/>
  <c r="Q16" i="99"/>
  <c r="O16" i="99"/>
  <c r="N16" i="99"/>
  <c r="AB15" i="99"/>
  <c r="U15" i="99"/>
  <c r="Q15" i="99"/>
  <c r="O15" i="99"/>
  <c r="N15" i="99"/>
  <c r="U14" i="99"/>
  <c r="Q14" i="99"/>
  <c r="O14" i="99"/>
  <c r="N14" i="99"/>
  <c r="U13" i="99"/>
  <c r="Q13" i="99"/>
  <c r="O13" i="99"/>
  <c r="N13" i="99"/>
  <c r="Y12" i="99"/>
  <c r="U12" i="99"/>
  <c r="Q12" i="99"/>
  <c r="O12" i="99"/>
  <c r="N12" i="99"/>
  <c r="Y11" i="99"/>
  <c r="U11" i="99"/>
  <c r="Q11" i="99"/>
  <c r="O11" i="99"/>
  <c r="N11" i="99"/>
  <c r="Y10" i="99"/>
  <c r="T10" i="99" s="1"/>
  <c r="U10" i="99"/>
  <c r="Q10" i="99"/>
  <c r="O10" i="99"/>
  <c r="N10" i="99"/>
  <c r="U9" i="99"/>
  <c r="Q9" i="99"/>
  <c r="O9" i="99"/>
  <c r="N9" i="99"/>
  <c r="Z8" i="99"/>
  <c r="U8" i="99"/>
  <c r="Q8" i="99"/>
  <c r="O8" i="99"/>
  <c r="N8" i="99"/>
  <c r="K8" i="99"/>
  <c r="J8" i="99"/>
  <c r="I8" i="99"/>
  <c r="U7" i="99"/>
  <c r="Q7" i="99"/>
  <c r="O7" i="99"/>
  <c r="N7" i="99"/>
  <c r="K7" i="99"/>
  <c r="J7" i="99"/>
  <c r="I7" i="99"/>
  <c r="U6" i="99"/>
  <c r="Q6" i="99"/>
  <c r="O6" i="99"/>
  <c r="N6" i="99"/>
  <c r="K6" i="99"/>
  <c r="J6" i="99"/>
  <c r="I6" i="99"/>
  <c r="U5" i="99"/>
  <c r="Q5" i="99"/>
  <c r="O5" i="99"/>
  <c r="N5" i="99"/>
  <c r="K5" i="99"/>
  <c r="J5" i="99"/>
  <c r="I5" i="99"/>
  <c r="AA3" i="99"/>
  <c r="M23" i="97" l="1"/>
  <c r="L23" i="97"/>
  <c r="O23" i="97" s="1"/>
  <c r="U22" i="97"/>
  <c r="Q22" i="97"/>
  <c r="O22" i="97"/>
  <c r="N22" i="97"/>
  <c r="U21" i="97"/>
  <c r="Q21" i="97"/>
  <c r="N21" i="97"/>
  <c r="Z20" i="97"/>
  <c r="Y20" i="97"/>
  <c r="U20" i="97"/>
  <c r="Q20" i="97"/>
  <c r="O20" i="97"/>
  <c r="N20" i="97"/>
  <c r="AA19" i="97"/>
  <c r="Y19" i="97"/>
  <c r="U19" i="97"/>
  <c r="Q19" i="97"/>
  <c r="O19" i="97"/>
  <c r="N19" i="97"/>
  <c r="U18" i="97"/>
  <c r="Q18" i="97"/>
  <c r="N18" i="97"/>
  <c r="Z17" i="97"/>
  <c r="Y17" i="97"/>
  <c r="U17" i="97"/>
  <c r="Q17" i="97"/>
  <c r="O17" i="97"/>
  <c r="N17" i="97"/>
  <c r="Y16" i="97"/>
  <c r="U16" i="97"/>
  <c r="Q16" i="97"/>
  <c r="O16" i="97"/>
  <c r="N16" i="97"/>
  <c r="AB15" i="97"/>
  <c r="U15" i="97"/>
  <c r="Q15" i="97"/>
  <c r="O15" i="97"/>
  <c r="N15" i="97"/>
  <c r="U14" i="97"/>
  <c r="Q14" i="97"/>
  <c r="O14" i="97"/>
  <c r="N14" i="97"/>
  <c r="U13" i="97"/>
  <c r="Q13" i="97"/>
  <c r="O13" i="97"/>
  <c r="N13" i="97"/>
  <c r="Y12" i="97"/>
  <c r="U12" i="97"/>
  <c r="Q12" i="97"/>
  <c r="O12" i="97"/>
  <c r="N12" i="97"/>
  <c r="Y11" i="97"/>
  <c r="U11" i="97"/>
  <c r="Q11" i="97"/>
  <c r="O11" i="97"/>
  <c r="N11" i="97"/>
  <c r="Y10" i="97"/>
  <c r="U10" i="97"/>
  <c r="T10" i="97"/>
  <c r="Q10" i="97"/>
  <c r="O10" i="97"/>
  <c r="N10" i="97"/>
  <c r="U9" i="97"/>
  <c r="Q9" i="97"/>
  <c r="O9" i="97"/>
  <c r="N9" i="97"/>
  <c r="Z8" i="97"/>
  <c r="U8" i="97"/>
  <c r="Q8" i="97"/>
  <c r="O8" i="97"/>
  <c r="N8" i="97"/>
  <c r="K8" i="97"/>
  <c r="J8" i="97"/>
  <c r="I8" i="97"/>
  <c r="U7" i="97"/>
  <c r="Q7" i="97"/>
  <c r="O7" i="97"/>
  <c r="N7" i="97"/>
  <c r="K7" i="97"/>
  <c r="J7" i="97"/>
  <c r="I7" i="97"/>
  <c r="U6" i="97"/>
  <c r="Q6" i="97"/>
  <c r="O6" i="97"/>
  <c r="N6" i="97"/>
  <c r="K6" i="97"/>
  <c r="J6" i="97"/>
  <c r="I6" i="97"/>
  <c r="U5" i="97"/>
  <c r="Q5" i="97"/>
  <c r="O5" i="97"/>
  <c r="N5" i="97"/>
  <c r="K5" i="97"/>
  <c r="J5" i="97"/>
  <c r="I5" i="97"/>
  <c r="AA3" i="97"/>
  <c r="O23" i="96"/>
  <c r="M23" i="96"/>
  <c r="N23" i="96" s="1"/>
  <c r="L23" i="96"/>
  <c r="U22" i="96"/>
  <c r="Q22" i="96"/>
  <c r="O22" i="96"/>
  <c r="N22" i="96"/>
  <c r="U21" i="96"/>
  <c r="Q21" i="96"/>
  <c r="N21" i="96"/>
  <c r="Z20" i="96"/>
  <c r="Y20" i="96"/>
  <c r="U20" i="96"/>
  <c r="Q20" i="96"/>
  <c r="O20" i="96"/>
  <c r="N20" i="96"/>
  <c r="AA19" i="96"/>
  <c r="Y19" i="96"/>
  <c r="U19" i="96"/>
  <c r="Q19" i="96"/>
  <c r="O19" i="96"/>
  <c r="N19" i="96"/>
  <c r="U18" i="96"/>
  <c r="Q18" i="96"/>
  <c r="N18" i="96"/>
  <c r="Z17" i="96"/>
  <c r="Y17" i="96"/>
  <c r="U17" i="96"/>
  <c r="Q17" i="96"/>
  <c r="O17" i="96"/>
  <c r="N17" i="96"/>
  <c r="Y16" i="96"/>
  <c r="U16" i="96"/>
  <c r="Q16" i="96"/>
  <c r="O16" i="96"/>
  <c r="N16" i="96"/>
  <c r="AB15" i="96"/>
  <c r="U15" i="96"/>
  <c r="Q15" i="96"/>
  <c r="O15" i="96"/>
  <c r="N15" i="96"/>
  <c r="U14" i="96"/>
  <c r="Q14" i="96"/>
  <c r="O14" i="96"/>
  <c r="N14" i="96"/>
  <c r="U13" i="96"/>
  <c r="Q13" i="96"/>
  <c r="O13" i="96"/>
  <c r="N13" i="96"/>
  <c r="Y12" i="96"/>
  <c r="U12" i="96"/>
  <c r="Q12" i="96"/>
  <c r="O12" i="96"/>
  <c r="N12" i="96"/>
  <c r="Y11" i="96"/>
  <c r="U11" i="96"/>
  <c r="Q11" i="96"/>
  <c r="O11" i="96"/>
  <c r="N11" i="96"/>
  <c r="Y10" i="96"/>
  <c r="U10" i="96"/>
  <c r="T10" i="96"/>
  <c r="Q10" i="96"/>
  <c r="O10" i="96"/>
  <c r="N10" i="96"/>
  <c r="U9" i="96"/>
  <c r="Q9" i="96"/>
  <c r="O9" i="96"/>
  <c r="N9" i="96"/>
  <c r="Z8" i="96"/>
  <c r="U8" i="96"/>
  <c r="Q8" i="96"/>
  <c r="O8" i="96"/>
  <c r="N8" i="96"/>
  <c r="K8" i="96"/>
  <c r="J8" i="96"/>
  <c r="I8" i="96"/>
  <c r="U7" i="96"/>
  <c r="Q7" i="96"/>
  <c r="O7" i="96"/>
  <c r="N7" i="96"/>
  <c r="K7" i="96"/>
  <c r="J7" i="96"/>
  <c r="I7" i="96"/>
  <c r="U6" i="96"/>
  <c r="Q6" i="96"/>
  <c r="O6" i="96"/>
  <c r="N6" i="96"/>
  <c r="K6" i="96"/>
  <c r="J6" i="96"/>
  <c r="I6" i="96"/>
  <c r="U5" i="96"/>
  <c r="Q5" i="96"/>
  <c r="O5" i="96"/>
  <c r="N5" i="96"/>
  <c r="K5" i="96"/>
  <c r="J5" i="96"/>
  <c r="I5" i="96"/>
  <c r="AA3" i="96"/>
  <c r="N23" i="97" l="1"/>
  <c r="O23" i="95"/>
  <c r="M23" i="95"/>
  <c r="N23" i="95" s="1"/>
  <c r="L23" i="95"/>
  <c r="U22" i="95"/>
  <c r="Q22" i="95"/>
  <c r="O22" i="95"/>
  <c r="N22" i="95"/>
  <c r="U21" i="95"/>
  <c r="Q21" i="95"/>
  <c r="N21" i="95"/>
  <c r="Z20" i="95"/>
  <c r="Y20" i="95"/>
  <c r="U20" i="95"/>
  <c r="Q20" i="95"/>
  <c r="O20" i="95"/>
  <c r="N20" i="95"/>
  <c r="AA19" i="95"/>
  <c r="Y19" i="95"/>
  <c r="U19" i="95"/>
  <c r="Q19" i="95"/>
  <c r="O19" i="95"/>
  <c r="N19" i="95"/>
  <c r="U18" i="95"/>
  <c r="Q18" i="95"/>
  <c r="N18" i="95"/>
  <c r="Z17" i="95"/>
  <c r="Y17" i="95"/>
  <c r="U17" i="95"/>
  <c r="Q17" i="95"/>
  <c r="O17" i="95"/>
  <c r="N17" i="95"/>
  <c r="Y16" i="95"/>
  <c r="U16" i="95"/>
  <c r="Q16" i="95"/>
  <c r="O16" i="95"/>
  <c r="N16" i="95"/>
  <c r="AB15" i="95"/>
  <c r="U15" i="95"/>
  <c r="Q15" i="95"/>
  <c r="O15" i="95"/>
  <c r="N15" i="95"/>
  <c r="U14" i="95"/>
  <c r="Q14" i="95"/>
  <c r="O14" i="95"/>
  <c r="N14" i="95"/>
  <c r="U13" i="95"/>
  <c r="Q13" i="95"/>
  <c r="O13" i="95"/>
  <c r="N13" i="95"/>
  <c r="Y12" i="95"/>
  <c r="U12" i="95"/>
  <c r="Q12" i="95"/>
  <c r="O12" i="95"/>
  <c r="N12" i="95"/>
  <c r="Y11" i="95"/>
  <c r="U11" i="95"/>
  <c r="Q11" i="95"/>
  <c r="O11" i="95"/>
  <c r="N11" i="95"/>
  <c r="Y10" i="95"/>
  <c r="U10" i="95"/>
  <c r="T10" i="95"/>
  <c r="Q10" i="95"/>
  <c r="O10" i="95"/>
  <c r="N10" i="95"/>
  <c r="U9" i="95"/>
  <c r="Q9" i="95"/>
  <c r="O9" i="95"/>
  <c r="N9" i="95"/>
  <c r="Z8" i="95"/>
  <c r="U8" i="95"/>
  <c r="Q8" i="95"/>
  <c r="O8" i="95"/>
  <c r="N8" i="95"/>
  <c r="K8" i="95"/>
  <c r="J8" i="95"/>
  <c r="I8" i="95"/>
  <c r="U7" i="95"/>
  <c r="Q7" i="95"/>
  <c r="O7" i="95"/>
  <c r="N7" i="95"/>
  <c r="K7" i="95"/>
  <c r="J7" i="95"/>
  <c r="I7" i="95"/>
  <c r="U6" i="95"/>
  <c r="Q6" i="95"/>
  <c r="O6" i="95"/>
  <c r="N6" i="95"/>
  <c r="K6" i="95"/>
  <c r="J6" i="95"/>
  <c r="I6" i="95"/>
  <c r="U5" i="95"/>
  <c r="Q5" i="95"/>
  <c r="O5" i="95"/>
  <c r="N5" i="95"/>
  <c r="K5" i="95"/>
  <c r="J5" i="95"/>
  <c r="I5" i="95"/>
  <c r="AA3" i="95"/>
  <c r="O23" i="94" l="1"/>
  <c r="M23" i="94"/>
  <c r="N23" i="94" s="1"/>
  <c r="L23" i="94"/>
  <c r="U22" i="94"/>
  <c r="Q22" i="94"/>
  <c r="O22" i="94"/>
  <c r="N22" i="94"/>
  <c r="U21" i="94"/>
  <c r="Q21" i="94"/>
  <c r="N21" i="94"/>
  <c r="Z20" i="94"/>
  <c r="Y20" i="94"/>
  <c r="U20" i="94"/>
  <c r="Q20" i="94"/>
  <c r="O20" i="94"/>
  <c r="N20" i="94"/>
  <c r="AA19" i="94"/>
  <c r="Y19" i="94"/>
  <c r="U19" i="94"/>
  <c r="Q19" i="94"/>
  <c r="O19" i="94"/>
  <c r="N19" i="94"/>
  <c r="U18" i="94"/>
  <c r="Q18" i="94"/>
  <c r="N18" i="94"/>
  <c r="Z17" i="94"/>
  <c r="Y17" i="94"/>
  <c r="U17" i="94"/>
  <c r="Q17" i="94"/>
  <c r="O17" i="94"/>
  <c r="N17" i="94"/>
  <c r="Y16" i="94"/>
  <c r="U16" i="94"/>
  <c r="Q16" i="94"/>
  <c r="O16" i="94"/>
  <c r="N16" i="94"/>
  <c r="AB15" i="94"/>
  <c r="U15" i="94"/>
  <c r="Q15" i="94"/>
  <c r="O15" i="94"/>
  <c r="N15" i="94"/>
  <c r="U14" i="94"/>
  <c r="Q14" i="94"/>
  <c r="O14" i="94"/>
  <c r="N14" i="94"/>
  <c r="U13" i="94"/>
  <c r="Q13" i="94"/>
  <c r="O13" i="94"/>
  <c r="N13" i="94"/>
  <c r="Y12" i="94"/>
  <c r="U12" i="94"/>
  <c r="Q12" i="94"/>
  <c r="O12" i="94"/>
  <c r="N12" i="94"/>
  <c r="Y11" i="94"/>
  <c r="U11" i="94"/>
  <c r="Q11" i="94"/>
  <c r="O11" i="94"/>
  <c r="N11" i="94"/>
  <c r="Y10" i="94"/>
  <c r="U10" i="94"/>
  <c r="T10" i="94"/>
  <c r="Q10" i="94"/>
  <c r="O10" i="94"/>
  <c r="N10" i="94"/>
  <c r="U9" i="94"/>
  <c r="Q9" i="94"/>
  <c r="O9" i="94"/>
  <c r="N9" i="94"/>
  <c r="Z8" i="94"/>
  <c r="U8" i="94"/>
  <c r="Q8" i="94"/>
  <c r="O8" i="94"/>
  <c r="N8" i="94"/>
  <c r="K8" i="94"/>
  <c r="J8" i="94"/>
  <c r="I8" i="94"/>
  <c r="U7" i="94"/>
  <c r="Q7" i="94"/>
  <c r="O7" i="94"/>
  <c r="N7" i="94"/>
  <c r="K7" i="94"/>
  <c r="J7" i="94"/>
  <c r="I7" i="94"/>
  <c r="U6" i="94"/>
  <c r="Q6" i="94"/>
  <c r="O6" i="94"/>
  <c r="N6" i="94"/>
  <c r="K6" i="94"/>
  <c r="J6" i="94"/>
  <c r="I6" i="94"/>
  <c r="U5" i="94"/>
  <c r="Q5" i="94"/>
  <c r="O5" i="94"/>
  <c r="N5" i="94"/>
  <c r="K5" i="94"/>
  <c r="J5" i="94"/>
  <c r="I5" i="94"/>
  <c r="AA3" i="94"/>
  <c r="M23" i="93" l="1"/>
  <c r="N23" i="93" s="1"/>
  <c r="L23" i="93"/>
  <c r="O23" i="93" s="1"/>
  <c r="U22" i="93"/>
  <c r="Q22" i="93"/>
  <c r="O22" i="93"/>
  <c r="N22" i="93"/>
  <c r="U21" i="93"/>
  <c r="Q21" i="93"/>
  <c r="N21" i="93"/>
  <c r="Z20" i="93"/>
  <c r="Y20" i="93"/>
  <c r="U20" i="93"/>
  <c r="Q20" i="93"/>
  <c r="O20" i="93"/>
  <c r="N20" i="93"/>
  <c r="AA19" i="93"/>
  <c r="Y19" i="93"/>
  <c r="U19" i="93"/>
  <c r="Q19" i="93"/>
  <c r="O19" i="93"/>
  <c r="N19" i="93"/>
  <c r="U18" i="93"/>
  <c r="Q18" i="93"/>
  <c r="N18" i="93"/>
  <c r="Z17" i="93"/>
  <c r="Y17" i="93"/>
  <c r="U17" i="93"/>
  <c r="Q17" i="93"/>
  <c r="O17" i="93"/>
  <c r="N17" i="93"/>
  <c r="Y16" i="93"/>
  <c r="U16" i="93"/>
  <c r="Q16" i="93"/>
  <c r="O16" i="93"/>
  <c r="N16" i="93"/>
  <c r="AB15" i="93"/>
  <c r="U15" i="93"/>
  <c r="Q15" i="93"/>
  <c r="O15" i="93"/>
  <c r="N15" i="93"/>
  <c r="U14" i="93"/>
  <c r="Q14" i="93"/>
  <c r="O14" i="93"/>
  <c r="N14" i="93"/>
  <c r="U13" i="93"/>
  <c r="Q13" i="93"/>
  <c r="O13" i="93"/>
  <c r="N13" i="93"/>
  <c r="Y12" i="93"/>
  <c r="U12" i="93"/>
  <c r="Q12" i="93"/>
  <c r="O12" i="93"/>
  <c r="N12" i="93"/>
  <c r="Y11" i="93"/>
  <c r="U11" i="93"/>
  <c r="Q11" i="93"/>
  <c r="O11" i="93"/>
  <c r="N11" i="93"/>
  <c r="Y10" i="93"/>
  <c r="U10" i="93"/>
  <c r="T10" i="93"/>
  <c r="Q10" i="93"/>
  <c r="O10" i="93"/>
  <c r="N10" i="93"/>
  <c r="U9" i="93"/>
  <c r="Q9" i="93"/>
  <c r="O9" i="93"/>
  <c r="N9" i="93"/>
  <c r="Z8" i="93"/>
  <c r="U8" i="93"/>
  <c r="Q8" i="93"/>
  <c r="O8" i="93"/>
  <c r="N8" i="93"/>
  <c r="K8" i="93"/>
  <c r="J8" i="93"/>
  <c r="I8" i="93"/>
  <c r="U7" i="93"/>
  <c r="Q7" i="93"/>
  <c r="O7" i="93"/>
  <c r="N7" i="93"/>
  <c r="K7" i="93"/>
  <c r="J7" i="93"/>
  <c r="I7" i="93"/>
  <c r="U6" i="93"/>
  <c r="Q6" i="93"/>
  <c r="O6" i="93"/>
  <c r="N6" i="93"/>
  <c r="K6" i="93"/>
  <c r="J6" i="93"/>
  <c r="I6" i="93"/>
  <c r="U5" i="93"/>
  <c r="Q5" i="93"/>
  <c r="O5" i="93"/>
  <c r="N5" i="93"/>
  <c r="K5" i="93"/>
  <c r="J5" i="93"/>
  <c r="I5" i="93"/>
  <c r="AA3" i="93"/>
  <c r="H21" i="91" l="1"/>
  <c r="F5" i="91"/>
  <c r="F6" i="91"/>
  <c r="Q14" i="86"/>
  <c r="J8" i="91" s="1"/>
  <c r="Q8" i="86"/>
  <c r="J9" i="91" s="1"/>
  <c r="U22" i="86" l="1"/>
  <c r="Q22" i="86"/>
  <c r="J20" i="91" s="1"/>
  <c r="O22" i="86"/>
  <c r="N22" i="86"/>
  <c r="U21" i="86"/>
  <c r="Q21" i="86"/>
  <c r="N21" i="86"/>
  <c r="U20" i="86"/>
  <c r="Q20" i="86"/>
  <c r="J19" i="91" s="1"/>
  <c r="O20" i="86"/>
  <c r="N20" i="86"/>
  <c r="U19" i="86"/>
  <c r="Q19" i="86"/>
  <c r="J18" i="91" s="1"/>
  <c r="O19" i="86"/>
  <c r="N19" i="86"/>
  <c r="U18" i="86"/>
  <c r="Q18" i="86"/>
  <c r="N18" i="86"/>
  <c r="U17" i="86"/>
  <c r="Q17" i="86"/>
  <c r="J17" i="91" s="1"/>
  <c r="O17" i="86"/>
  <c r="N17" i="86"/>
  <c r="U16" i="86"/>
  <c r="Q16" i="86"/>
  <c r="J12" i="91" s="1"/>
  <c r="O16" i="86"/>
  <c r="N16" i="86"/>
  <c r="U15" i="86"/>
  <c r="Q15" i="86"/>
  <c r="J16" i="91" s="1"/>
  <c r="O15" i="86"/>
  <c r="N15" i="86"/>
  <c r="U14" i="86"/>
  <c r="O14" i="86"/>
  <c r="N14" i="86"/>
  <c r="U13" i="86"/>
  <c r="Q13" i="86"/>
  <c r="J10" i="91" s="1"/>
  <c r="O13" i="86"/>
  <c r="N13" i="86"/>
  <c r="U12" i="86"/>
  <c r="Q12" i="86"/>
  <c r="J15" i="91" s="1"/>
  <c r="O12" i="86"/>
  <c r="N12" i="86"/>
  <c r="U11" i="86"/>
  <c r="Q11" i="86"/>
  <c r="J14" i="91" s="1"/>
  <c r="O11" i="86"/>
  <c r="N11" i="86"/>
  <c r="U10" i="86"/>
  <c r="Q10" i="86"/>
  <c r="J13" i="91" s="1"/>
  <c r="O10" i="86"/>
  <c r="N10" i="86"/>
  <c r="U9" i="86"/>
  <c r="Q9" i="86"/>
  <c r="J11" i="91" s="1"/>
  <c r="O9" i="86"/>
  <c r="N9" i="86"/>
  <c r="U8" i="86"/>
  <c r="O8" i="86"/>
  <c r="N8" i="86"/>
  <c r="K8" i="86"/>
  <c r="J8" i="86"/>
  <c r="I8" i="86"/>
  <c r="U7" i="86"/>
  <c r="Q7" i="86"/>
  <c r="J7" i="91" s="1"/>
  <c r="O7" i="86"/>
  <c r="N7" i="86"/>
  <c r="K7" i="86"/>
  <c r="J7" i="86"/>
  <c r="I7" i="86"/>
  <c r="U6" i="86"/>
  <c r="Q6" i="86"/>
  <c r="J6" i="91" s="1"/>
  <c r="O6" i="86"/>
  <c r="N6" i="86"/>
  <c r="K6" i="86"/>
  <c r="J6" i="86"/>
  <c r="I6" i="86"/>
  <c r="U5" i="86"/>
  <c r="Q5" i="86"/>
  <c r="J5" i="91" s="1"/>
  <c r="O5" i="86"/>
  <c r="N5" i="86"/>
  <c r="K5" i="86"/>
  <c r="J5" i="86"/>
  <c r="I5" i="86"/>
  <c r="M23" i="86" l="1"/>
  <c r="L23" i="86"/>
  <c r="O23" i="86" s="1"/>
  <c r="N23" i="86" l="1"/>
  <c r="Y20" i="86"/>
  <c r="Y12" i="86" l="1"/>
  <c r="D10" i="91"/>
  <c r="Y19" i="86"/>
  <c r="Y16" i="86"/>
  <c r="Y11" i="86"/>
  <c r="Z17" i="86" l="1"/>
  <c r="Z20" i="86" l="1"/>
  <c r="Y17" i="86" l="1"/>
  <c r="Y10" i="86"/>
  <c r="T10" i="86" s="1"/>
  <c r="AA19" i="86" l="1"/>
  <c r="K18" i="91"/>
  <c r="AA3" i="86"/>
  <c r="Z8" i="86" l="1"/>
  <c r="AB15" i="86" l="1"/>
  <c r="N13" i="91" l="1"/>
  <c r="K19" i="91" l="1"/>
  <c r="L12" i="91" l="1"/>
  <c r="M12" i="91" s="1"/>
  <c r="A3" i="92"/>
  <c r="N17" i="91"/>
  <c r="O17" i="91" s="1"/>
  <c r="N12" i="91"/>
  <c r="O12" i="91" s="1"/>
  <c r="H18" i="92"/>
  <c r="F8" i="92"/>
  <c r="G8" i="92" s="1"/>
  <c r="F9" i="92"/>
  <c r="G9" i="92" s="1"/>
  <c r="F10" i="92"/>
  <c r="G10" i="92" s="1"/>
  <c r="F11" i="92"/>
  <c r="G11" i="92" s="1"/>
  <c r="F12" i="92"/>
  <c r="G12" i="92" s="1"/>
  <c r="F13" i="92"/>
  <c r="G13" i="92" s="1"/>
  <c r="F14" i="92"/>
  <c r="G14" i="92" s="1"/>
  <c r="F15" i="92"/>
  <c r="G15" i="92" s="1"/>
  <c r="F16" i="92"/>
  <c r="G16" i="92" s="1"/>
  <c r="F17" i="92"/>
  <c r="G17" i="92" s="1"/>
  <c r="F18" i="92"/>
  <c r="G18" i="92" s="1"/>
  <c r="F19" i="92"/>
  <c r="G19" i="92" s="1"/>
  <c r="F20" i="92"/>
  <c r="G20" i="92" s="1"/>
  <c r="F21" i="92"/>
  <c r="G21" i="92" s="1"/>
  <c r="F22" i="92"/>
  <c r="G22" i="92" s="1"/>
  <c r="F23" i="92"/>
  <c r="G23" i="92" s="1"/>
  <c r="F7" i="92"/>
  <c r="G7" i="92" s="1"/>
  <c r="F6" i="92"/>
  <c r="G6" i="92" s="1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8" i="92"/>
  <c r="E7" i="92"/>
  <c r="E6" i="92"/>
  <c r="N6" i="91"/>
  <c r="O6" i="91" s="1"/>
  <c r="N7" i="91"/>
  <c r="O7" i="91" s="1"/>
  <c r="H9" i="92"/>
  <c r="H10" i="92"/>
  <c r="H11" i="92"/>
  <c r="O13" i="91"/>
  <c r="N14" i="91"/>
  <c r="O14" i="91" s="1"/>
  <c r="N15" i="91"/>
  <c r="O15" i="91" s="1"/>
  <c r="N10" i="91"/>
  <c r="O10" i="91" s="1"/>
  <c r="H15" i="92"/>
  <c r="N16" i="91"/>
  <c r="O16" i="91" s="1"/>
  <c r="H17" i="92"/>
  <c r="H19" i="92"/>
  <c r="H22" i="92"/>
  <c r="N20" i="91"/>
  <c r="O20" i="91" s="1"/>
  <c r="H6" i="92"/>
  <c r="B5" i="91"/>
  <c r="C5" i="91"/>
  <c r="D5" i="91"/>
  <c r="E5" i="91"/>
  <c r="I5" i="91" s="1"/>
  <c r="L5" i="91"/>
  <c r="M5" i="91" s="1"/>
  <c r="P5" i="91"/>
  <c r="Q5" i="91" s="1"/>
  <c r="B6" i="91"/>
  <c r="C6" i="91"/>
  <c r="D6" i="91"/>
  <c r="E6" i="91"/>
  <c r="I6" i="91" s="1"/>
  <c r="L6" i="91"/>
  <c r="M6" i="91" s="1"/>
  <c r="P6" i="91"/>
  <c r="Q6" i="91" s="1"/>
  <c r="B7" i="91"/>
  <c r="C7" i="91"/>
  <c r="D7" i="91"/>
  <c r="E7" i="91"/>
  <c r="I7" i="91" s="1"/>
  <c r="F7" i="91"/>
  <c r="L7" i="91"/>
  <c r="M7" i="91" s="1"/>
  <c r="P7" i="91"/>
  <c r="Q7" i="91" s="1"/>
  <c r="B8" i="91"/>
  <c r="C8" i="91"/>
  <c r="D8" i="91"/>
  <c r="E8" i="91"/>
  <c r="I8" i="91" s="1"/>
  <c r="F8" i="91"/>
  <c r="P8" i="91"/>
  <c r="Q8" i="91" s="1"/>
  <c r="B9" i="91"/>
  <c r="C9" i="91"/>
  <c r="D9" i="91"/>
  <c r="E9" i="91"/>
  <c r="I9" i="91" s="1"/>
  <c r="F9" i="91"/>
  <c r="L9" i="91"/>
  <c r="M9" i="91" s="1"/>
  <c r="P9" i="91"/>
  <c r="Q9" i="91" s="1"/>
  <c r="B10" i="91"/>
  <c r="C10" i="91"/>
  <c r="E10" i="91"/>
  <c r="I10" i="91" s="1"/>
  <c r="F10" i="91"/>
  <c r="P10" i="91"/>
  <c r="Q10" i="91" s="1"/>
  <c r="B11" i="91"/>
  <c r="C11" i="91"/>
  <c r="D11" i="91"/>
  <c r="E11" i="91"/>
  <c r="I11" i="91" s="1"/>
  <c r="F11" i="91"/>
  <c r="L11" i="91"/>
  <c r="M11" i="91" s="1"/>
  <c r="P11" i="91"/>
  <c r="Q11" i="91" s="1"/>
  <c r="B12" i="91"/>
  <c r="C12" i="91"/>
  <c r="D12" i="91"/>
  <c r="E12" i="91"/>
  <c r="F12" i="91"/>
  <c r="P12" i="91"/>
  <c r="Q12" i="91" s="1"/>
  <c r="B13" i="91"/>
  <c r="C13" i="91"/>
  <c r="D13" i="91"/>
  <c r="E13" i="91"/>
  <c r="I13" i="91" s="1"/>
  <c r="F13" i="91"/>
  <c r="P13" i="91"/>
  <c r="Q13" i="91" s="1"/>
  <c r="B14" i="91"/>
  <c r="C14" i="91"/>
  <c r="D14" i="91"/>
  <c r="E14" i="91"/>
  <c r="I14" i="91" s="1"/>
  <c r="F14" i="91"/>
  <c r="L14" i="91"/>
  <c r="M14" i="91" s="1"/>
  <c r="P14" i="91"/>
  <c r="Q14" i="91" s="1"/>
  <c r="B15" i="91"/>
  <c r="C15" i="91"/>
  <c r="D15" i="91"/>
  <c r="E15" i="91"/>
  <c r="F15" i="91"/>
  <c r="P15" i="91"/>
  <c r="Q15" i="91" s="1"/>
  <c r="B16" i="91"/>
  <c r="C16" i="91"/>
  <c r="D16" i="91"/>
  <c r="E16" i="91"/>
  <c r="I16" i="91" s="1"/>
  <c r="F16" i="91"/>
  <c r="L16" i="91"/>
  <c r="M16" i="91" s="1"/>
  <c r="P16" i="91"/>
  <c r="Q16" i="91" s="1"/>
  <c r="B17" i="91"/>
  <c r="C17" i="91"/>
  <c r="D17" i="91"/>
  <c r="E17" i="91"/>
  <c r="I17" i="91" s="1"/>
  <c r="F17" i="91"/>
  <c r="L17" i="91"/>
  <c r="M17" i="91" s="1"/>
  <c r="P17" i="91"/>
  <c r="Q17" i="91" s="1"/>
  <c r="B18" i="91"/>
  <c r="C18" i="91"/>
  <c r="D18" i="91"/>
  <c r="E18" i="91"/>
  <c r="I18" i="91" s="1"/>
  <c r="F18" i="91"/>
  <c r="L18" i="91"/>
  <c r="M18" i="91" s="1"/>
  <c r="P18" i="91"/>
  <c r="Q18" i="91" s="1"/>
  <c r="B19" i="91"/>
  <c r="C19" i="91"/>
  <c r="D19" i="91"/>
  <c r="E19" i="91"/>
  <c r="I19" i="91" s="1"/>
  <c r="F19" i="91"/>
  <c r="L19" i="91"/>
  <c r="M19" i="91" s="1"/>
  <c r="P19" i="91"/>
  <c r="Q19" i="91" s="1"/>
  <c r="B20" i="91"/>
  <c r="C20" i="91"/>
  <c r="D20" i="91"/>
  <c r="E20" i="91"/>
  <c r="I20" i="91" s="1"/>
  <c r="F20" i="91"/>
  <c r="L20" i="91"/>
  <c r="M20" i="91" s="1"/>
  <c r="P20" i="91"/>
  <c r="Q20" i="91" s="1"/>
  <c r="N5" i="91"/>
  <c r="O5" i="91" s="1"/>
  <c r="N11" i="91"/>
  <c r="O11" i="91" s="1"/>
  <c r="N9" i="91"/>
  <c r="O9" i="91" s="1"/>
  <c r="N8" i="91"/>
  <c r="O8" i="91" s="1"/>
  <c r="H13" i="92"/>
  <c r="N18" i="91"/>
  <c r="O18" i="91" s="1"/>
  <c r="H20" i="92"/>
  <c r="H21" i="92"/>
  <c r="N19" i="91"/>
  <c r="O19" i="91" s="1"/>
  <c r="H14" i="92"/>
  <c r="H12" i="92"/>
  <c r="H7" i="92"/>
  <c r="H16" i="92"/>
  <c r="H8" i="92"/>
  <c r="H23" i="92"/>
  <c r="K9" i="91" l="1"/>
  <c r="K5" i="91"/>
  <c r="K17" i="91"/>
  <c r="K8" i="91"/>
  <c r="K11" i="91"/>
  <c r="K10" i="91"/>
  <c r="K6" i="91"/>
  <c r="K15" i="91"/>
  <c r="K14" i="91"/>
  <c r="K20" i="91"/>
  <c r="K12" i="91"/>
  <c r="K13" i="91"/>
  <c r="K7" i="91"/>
  <c r="K16" i="91"/>
  <c r="G11" i="91"/>
  <c r="G7" i="91"/>
  <c r="G10" i="91"/>
  <c r="G9" i="91"/>
  <c r="G14" i="91"/>
  <c r="N21" i="91"/>
  <c r="G15" i="91"/>
  <c r="G20" i="91"/>
  <c r="G19" i="91"/>
  <c r="G8" i="91"/>
  <c r="G6" i="91"/>
  <c r="G5" i="91"/>
  <c r="G18" i="91"/>
  <c r="G12" i="91"/>
  <c r="G16" i="91"/>
  <c r="I15" i="91"/>
  <c r="G17" i="91"/>
  <c r="G13" i="91"/>
  <c r="I12" i="91"/>
  <c r="O21" i="91"/>
  <c r="L21" i="91"/>
  <c r="F21" i="91"/>
  <c r="M21" i="91"/>
  <c r="K21" i="91" l="1"/>
  <c r="J21" i="91"/>
</calcChain>
</file>

<file path=xl/sharedStrings.xml><?xml version="1.0" encoding="utf-8"?>
<sst xmlns="http://schemas.openxmlformats.org/spreadsheetml/2006/main" count="2556" uniqueCount="176">
  <si>
    <t>KERALA STATE ELECTRICITY BOARD LIMITED</t>
  </si>
  <si>
    <t>Sl. No.</t>
  </si>
  <si>
    <t>District</t>
  </si>
  <si>
    <t>MWL (metre)</t>
  </si>
  <si>
    <t>Spillway Crest Level (metre)</t>
  </si>
  <si>
    <t>Live Storage at FRL (MCM)</t>
  </si>
  <si>
    <t>Rule level
(metre)</t>
  </si>
  <si>
    <t>% Storage wrt Live Storage at FRL</t>
  </si>
  <si>
    <t>Rain
fall (mm)</t>
  </si>
  <si>
    <t>Remarks</t>
  </si>
  <si>
    <t>IDUKKI</t>
  </si>
  <si>
    <t>IDK</t>
  </si>
  <si>
    <t>2408.5 ft</t>
  </si>
  <si>
    <t>2373 ft</t>
  </si>
  <si>
    <t>IDAMALAYAR</t>
  </si>
  <si>
    <t>EKM</t>
  </si>
  <si>
    <t>PTTA</t>
  </si>
  <si>
    <t>WND</t>
  </si>
  <si>
    <t>SHOLAYAR</t>
  </si>
  <si>
    <t>TSR</t>
  </si>
  <si>
    <t>2663 ft</t>
  </si>
  <si>
    <t>2642 ft</t>
  </si>
  <si>
    <t>MADUPETTY</t>
  </si>
  <si>
    <t>ANAYIRANKAL</t>
  </si>
  <si>
    <t>PONMUDI</t>
  </si>
  <si>
    <t>KKD</t>
  </si>
  <si>
    <t>PAMBA</t>
  </si>
  <si>
    <t>PORINGALKUTHU</t>
  </si>
  <si>
    <t>KUNDALA</t>
  </si>
  <si>
    <t xml:space="preserve"> </t>
  </si>
  <si>
    <t>KALLARKUTTY</t>
  </si>
  <si>
    <t>ERATTAYAR</t>
  </si>
  <si>
    <t xml:space="preserve">LOWER PERIYAR </t>
  </si>
  <si>
    <t>MOOZHIYAR</t>
  </si>
  <si>
    <t>KALLAR</t>
  </si>
  <si>
    <t>Grand Total</t>
  </si>
  <si>
    <t>#</t>
  </si>
  <si>
    <t>RESERVOIR</t>
  </si>
  <si>
    <t>WATER LEVEL (M)</t>
  </si>
  <si>
    <t xml:space="preserve">LIVE STORAGE </t>
  </si>
  <si>
    <t>INFLOW (MU)</t>
  </si>
  <si>
    <t>GENERATION (MU)</t>
  </si>
  <si>
    <t>SPILL (MU)</t>
  </si>
  <si>
    <t>RAINFALL (MM)</t>
  </si>
  <si>
    <t>FRL</t>
  </si>
  <si>
    <t>TODAY</t>
  </si>
  <si>
    <t>FRL
(MU)</t>
  </si>
  <si>
    <t>LAST DAY</t>
  </si>
  <si>
    <t>CUMULATIVE</t>
  </si>
  <si>
    <t>MU</t>
  </si>
  <si>
    <t>%</t>
  </si>
  <si>
    <t>GRAND TOTAL</t>
  </si>
  <si>
    <t>Cum. Gen. up to Yesterday</t>
  </si>
  <si>
    <t>Cum. Inflow up to Yesterday</t>
  </si>
  <si>
    <t>Cum. Spill. up to Yesterday</t>
  </si>
  <si>
    <t>Cum. rain up to Yesterday</t>
  </si>
  <si>
    <t xml:space="preserve">Before editing copy Coulmn "F" and paste as values to column "H" </t>
  </si>
  <si>
    <t>For cumulative inflow copy copy column "K" to Column "S" as values</t>
  </si>
  <si>
    <t>For cumulative generation copy copy column "M" to Column "T" as values</t>
  </si>
  <si>
    <t>For cumulative rainfall, copy copy column "Q" to Column "V" as values</t>
  </si>
  <si>
    <t>Generation
(MU)</t>
  </si>
  <si>
    <t>Sd/-</t>
  </si>
  <si>
    <t>Deputy Chief Engineer</t>
  </si>
  <si>
    <t>Research &amp; Dam Safety Organization</t>
  </si>
  <si>
    <t>Pallom, Kottayam</t>
  </si>
  <si>
    <t>For cumulative spill, copy copy column "O" to Column "U" as values</t>
  </si>
  <si>
    <t>Enter todays generation to column "X" at 18 Dams sheet from dam safety group ( Madupetty Kundala from SLDC Site)</t>
  </si>
  <si>
    <t xml:space="preserve"> Inflow (MCM)</t>
  </si>
  <si>
    <t>Power House Discharge (MCM)</t>
  </si>
  <si>
    <t>Spill
(MCM)</t>
  </si>
  <si>
    <t>Total Outflow (MCM)</t>
  </si>
  <si>
    <t>FRL
 (metre)</t>
  </si>
  <si>
    <t>17=14+15</t>
  </si>
  <si>
    <t xml:space="preserve">% Storage </t>
  </si>
  <si>
    <t xml:space="preserve"> Live Storage
(MCM)</t>
  </si>
  <si>
    <t>കേരള സ്റ്റേറ്റ് ഇലക്ട്രിസിറ്റി ബോർഡ് ലിമിറ്റഡ്</t>
  </si>
  <si>
    <t xml:space="preserve">അണക്കെട്ട്
Name of Dam </t>
  </si>
  <si>
    <t>പരമാവധി ജലനിരപ്പ് (മീറ്റർ)
FRL in (m)</t>
  </si>
  <si>
    <t>നിലവിലെ ജലനിരപ്പ്
 Water level as on date (m)</t>
  </si>
  <si>
    <t>നിലവിലെ മൊത്ത സംഭരണo
 Live Storage as on Date (MCM)</t>
  </si>
  <si>
    <t xml:space="preserve">നിലവിലെ മൊത്ത സംഭരണ ശതമാനം
 Live Storage Percentage </t>
  </si>
  <si>
    <t>പുറത്ത് വിടുന്ന വെള്ളം Spill (cumecs)</t>
  </si>
  <si>
    <t>കുറിപ്പ്
Remarks</t>
  </si>
  <si>
    <t>ഇടുക്കി - IDUKKI</t>
  </si>
  <si>
    <t xml:space="preserve">ഇടമലയാർ - IDAMALAYAR </t>
  </si>
  <si>
    <t xml:space="preserve">കക്കി (ആനത്തോട്) - KAKKI (ANATHODE )  </t>
  </si>
  <si>
    <t>ബാണാസുരസാഗർ  -BANASURASAGAR</t>
  </si>
  <si>
    <t>ഷോളയാർ - SHOLAYAR</t>
  </si>
  <si>
    <t xml:space="preserve">മാടുപെട്ടി -MADUPETTY             </t>
  </si>
  <si>
    <t>ആനയിറങ്കൽ 
ANAYIRANKAL</t>
  </si>
  <si>
    <t>പൊന്മുടി - PONMUDI</t>
  </si>
  <si>
    <t>കുറ്റിയാടി  - KUTTIYADI</t>
  </si>
  <si>
    <t>പമ്പ  -  PAMBA</t>
  </si>
  <si>
    <t>പൊരിങ്ങൽകുത്ത്  - PORINGALKUTHU</t>
  </si>
  <si>
    <t>കുണ്ടള  - KUNDALA</t>
  </si>
  <si>
    <t>കല്ലാർകുട്ടി - KALLARKUTTY</t>
  </si>
  <si>
    <t>ഇരട്ടയാർ  - ERATTAYAR</t>
  </si>
  <si>
    <t xml:space="preserve">ലോവർ പെരിയാർ  -
LOWER PERIYAR </t>
  </si>
  <si>
    <t>മൂഴിയാർ  - MOOZHIYAR</t>
  </si>
  <si>
    <t>കല്ലാർ  - KALLAR</t>
  </si>
  <si>
    <t>ചെങ്കുളം - SENGULAM</t>
  </si>
  <si>
    <t>പൂർണ്ണ സംഭരണശേഷി
Total Live Storage at FRL (MCM)</t>
  </si>
  <si>
    <t>(കേരളത്തിലെ പ്രധാന അണക്കെട്ടുകളിലെ (KSEBL) ദിനേനയുള്ള ജലനിരപ്പ് സംബന്ധിച്ചുള്ള വിവരം)</t>
  </si>
  <si>
    <t>2403 അടി
(feet)</t>
  </si>
  <si>
    <t>2663 അടി
(feet)</t>
  </si>
  <si>
    <t>Name of Reservoir</t>
  </si>
  <si>
    <t>KAKKI - ANATHODE</t>
  </si>
  <si>
    <t>Blue Alert level
(metre)</t>
  </si>
  <si>
    <t>Orange Alert level
(metre)</t>
  </si>
  <si>
    <t>Red Alert Level
(metre)</t>
  </si>
  <si>
    <t xml:space="preserve"> Water level on date (metre)</t>
  </si>
  <si>
    <t>Current Spillway release (Cumecs)</t>
  </si>
  <si>
    <t xml:space="preserve"> Average Inflow (Cumecs)</t>
  </si>
  <si>
    <t xml:space="preserve">SENGULAM </t>
  </si>
  <si>
    <t>BANASURASAGAR (K A S)</t>
  </si>
  <si>
    <t xml:space="preserve">                                              </t>
  </si>
  <si>
    <t>KUTTIYADI (KAKKAYAM)</t>
  </si>
  <si>
    <t xml:space="preserve">     </t>
  </si>
  <si>
    <t xml:space="preserve">  </t>
  </si>
  <si>
    <t>Spilling Dams  : Nil</t>
  </si>
  <si>
    <r>
      <rPr>
        <b/>
        <sz val="18"/>
        <color indexed="8"/>
        <rFont val="Aptos Narrow"/>
        <family val="2"/>
      </rPr>
      <t xml:space="preserve">DAM SAFETY ORGANISATION, KSEBL
</t>
    </r>
    <r>
      <rPr>
        <b/>
        <sz val="14"/>
        <color indexed="8"/>
        <rFont val="Aptos Narrow"/>
        <family val="2"/>
      </rPr>
      <t>RESERVOIR STATISTICS - WATER YEAR 2026-2027 (1.06.2026 to 31.05.2027)</t>
    </r>
  </si>
  <si>
    <t xml:space="preserve">Sluice discharge = 0.00 MCM. All gates are closed
</t>
  </si>
  <si>
    <t xml:space="preserve"> (Sluice gate fully closed @ 4.00 pm on 05.06.2026)</t>
  </si>
  <si>
    <t>Sluice discharge =0.489MCM</t>
  </si>
  <si>
    <t>DAILY REPORT - WATER LEVELS OF MAJOR RESERVOIRS  (As on 01.07.2026) 7.00 AM.</t>
  </si>
  <si>
    <r>
      <t>01.07.2026</t>
    </r>
    <r>
      <rPr>
        <b/>
        <sz val="16"/>
        <color indexed="8"/>
        <rFont val="Calibri"/>
        <family val="2"/>
      </rPr>
      <t xml:space="preserve"> 7AM</t>
    </r>
  </si>
  <si>
    <t xml:space="preserve">Tunnel fully closed on 29.06.2026 at 11.15 am.
Tunnel discharge- Nil </t>
  </si>
  <si>
    <t>DAILY REPORT - WATER LEVELS OF MAJOR RESERVOIRS  (As on 02.07.2026) 7.00 AM.</t>
  </si>
  <si>
    <t>DAILY REPORT - WATER LEVELS OF MAJOR RESERVOIRS  (As on 03.07.2026) 7.00 AM.</t>
  </si>
  <si>
    <t>DAILY REPORT - WATER LEVELS OF MAJOR RESERVOIRS  (As on 04.07.2026) 7.00 AM.</t>
  </si>
  <si>
    <t>Sluice discharge =0.0204MCM</t>
  </si>
  <si>
    <t>DAILY REPORT - WATER LEVELS OF MAJOR RESERVOIRS  (As on 05.07.2026) 7.00 AM.</t>
  </si>
  <si>
    <t>Sluice discharge =0.00 MCM</t>
  </si>
  <si>
    <t>DAILY REPORT - WATER LEVELS OF MAJOR RESERVOIRS  (As on 06.07.2026) 7.00 AM.</t>
  </si>
  <si>
    <t xml:space="preserve">Tunnel fully closed on 29.06.'26 at 11.15 am.
Tunnel discharge- Nil </t>
  </si>
  <si>
    <t xml:space="preserve"> (Sluice gate fully closed @ 4.00 pm on 05.06.'26)</t>
  </si>
  <si>
    <t>Spillway gates are kept at crest level, +419.40m</t>
  </si>
  <si>
    <t>DAILY REPORT - WATER LEVELS OF MAJOR RESERVOIRS  (As on 07.07.2026) 7.00 AM.</t>
  </si>
  <si>
    <t>DAILY REPORT - WATER LEVELS OF MAJOR RESERVOIRS  (As on 08.07.2026) 7.00 AM.</t>
  </si>
  <si>
    <t>DAILY REPORT - WATER LEVELS OF MAJOR RESERVOIRS  (As on 09.07.2026) 7.00 AM.</t>
  </si>
  <si>
    <t>Spilling Dams  : Poringalkuthu</t>
  </si>
  <si>
    <t>DAILY REPORT - WATER LEVELS OF MAJOR RESERVOIRS  (As on 10.07.2026) 7.00 AM.</t>
  </si>
  <si>
    <t>DAILY REPORT - WATER LEVELS OF MAJOR RESERVOIRS  (As on 11.07.2026) 7.00 AM.</t>
  </si>
  <si>
    <t>DAILY REPORT - WATER LEVELS OF MAJOR RESERVOIRS  (As on 12.07.2026) 7.00 AM.</t>
  </si>
  <si>
    <t>DAILY REPORT - WATER LEVELS OF MAJOR RESERVOIRS  (As on 13.07.2026) 7.00 AM.</t>
  </si>
  <si>
    <t xml:space="preserve">Spilling Dams  : </t>
  </si>
  <si>
    <t>DAILY REPORT - WATER LEVELS OF MAJOR RESERVOIRS  (As on 14.07.2026) 7.00 AM.</t>
  </si>
  <si>
    <t>DAILY REPORT - WATER LEVELS OF MAJOR RESERVOIRS  (As on 15.07.2026) 7.00 AM.</t>
  </si>
  <si>
    <t>DAILY REPORT - WATER LEVELS OF MAJOR RESERVOIRS  (As on 16.07.2026) 7.00 AM.</t>
  </si>
  <si>
    <t>Sluice discharge =0.3525 MCM</t>
  </si>
  <si>
    <t>DAILY REPORT - WATER LEVELS OF MAJOR RESERVOIRS  (As on 17.07.2026) 7.00 AM.</t>
  </si>
  <si>
    <t>Sluice discharge =0.489 MCM</t>
  </si>
  <si>
    <t>DAILY REPORT - WATER LEVELS OF MAJOR RESERVOIRS  (As on 18.07.2026) 7.00 AM.</t>
  </si>
  <si>
    <t>DAILY REPORT - WATER LEVELS OF MAJOR RESERVOIRS  (As on 20.07.2026) 7.00 AM.</t>
  </si>
  <si>
    <t>DAILY REPORT - WATER LEVELS OF MAJOR RESERVOIRS  (As on 19.07.2026) 7.00 AM.</t>
  </si>
  <si>
    <t>DAILY REPORT - WATER LEVELS OF MAJOR RESERVOIRS  (As on 21.07.2026) 7.00 AM.</t>
  </si>
  <si>
    <t>DAILY REPORT - WATER LEVELS OF MAJOR RESERVOIRS  (As on 22.07.2026) 7.00 AM.</t>
  </si>
  <si>
    <t>DAILY REPORT - WATER LEVELS OF MAJOR RESERVOIRS  (As on 23.07.2026) 7.00 AM.</t>
  </si>
  <si>
    <t>DAILY REPORT - WATER LEVELS OF MAJOR RESERVOIRS  (As on 24.07.2026) 7.00 AM.</t>
  </si>
  <si>
    <t>Nil</t>
  </si>
  <si>
    <t>DAILY REPORT - WATER LEVELS OF MAJOR RESERVOIRS  (As on 25.07.2026) 7.00 AM.</t>
  </si>
  <si>
    <t>Sluice discharge =0.3566 MCM</t>
  </si>
  <si>
    <t>DAILY REPORT - WATER LEVELS OF MAJOR RESERVOIRS  (As on 27.07.2026) 7.00 AM.</t>
  </si>
  <si>
    <t>Sluice discharge =0.2445MCM</t>
  </si>
  <si>
    <t>DAILY REPORT - WATER LEVELS OF MAJOR RESERVOIRS  (As on 26.07.2026) 7.00 AM.</t>
  </si>
  <si>
    <t>DAILY REPORT - WATER LEVELS OF MAJOR RESERVOIRS  (As on 28.07.2026) 7.00 AM.</t>
  </si>
  <si>
    <t>DAILY REPORT - WATER LEVELS OF MAJOR RESERVOIRS  (As on 29.07.2026) 7.00 AM.</t>
  </si>
  <si>
    <t>DAILY REPORT - WATER LEVELS OF MAJOR RESERVOIRS  (As on 30.07.2026) 7.00 AM.</t>
  </si>
  <si>
    <t>Sluice discharge =0.0031MCM</t>
  </si>
  <si>
    <t>All gates are in fully opened condition</t>
  </si>
  <si>
    <t>Poringalkuthu</t>
  </si>
  <si>
    <t>DAILY REPORT - WATER LEVELS OF MAJOR RESERVOIRS  (As on 31.07.2026) 7.00 AM.</t>
  </si>
  <si>
    <t>Sluice discharge =0.00MCM</t>
  </si>
  <si>
    <t>All crest gates are in fully opened condition</t>
  </si>
  <si>
    <t>Upper vent-3 raised for 20 cm</t>
  </si>
  <si>
    <t>Poringalkuthu &amp; Lower Periyar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</si>
</sst>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00"/>
    <numFmt numFmtId="167" formatCode="0.00&quot;ft&quot;"/>
    <numFmt numFmtId="168" formatCode="0.00\ &quot;ft&quot;"/>
    <numFmt numFmtId="169" formatCode="dd/mm/yyyy;@"/>
    <numFmt numFmtId="170" formatCode="_(* #,##0.000_);_(* \(#,##0.000\);_(* &quot;-&quot;??_);_(@_)"/>
  </numFmts>
  <fonts count="30">
    <font>
      <sz val="11"/>
      <color theme="1"/>
      <name val="Calibri"/>
      <family val="2"/>
      <scheme val="minor"/>
    </font>
    <font>
      <b/>
      <sz val="14"/>
      <color indexed="8"/>
      <name val="Aptos Narrow"/>
      <family val="2"/>
    </font>
    <font>
      <b/>
      <sz val="18"/>
      <color indexed="8"/>
      <name val="Aptos Narrow"/>
      <family val="2"/>
    </font>
    <font>
      <b/>
      <sz val="16"/>
      <color indexed="8"/>
      <name val="Calibri"/>
      <family val="2"/>
    </font>
    <font>
      <b/>
      <sz val="12"/>
      <name val="Kartika"/>
      <family val="1"/>
    </font>
    <font>
      <b/>
      <sz val="11"/>
      <name val="Kartika"/>
      <family val="1"/>
    </font>
    <font>
      <sz val="10"/>
      <name val="Kartika"/>
      <family val="1"/>
    </font>
    <font>
      <sz val="11"/>
      <name val="Kartik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Kartika"/>
      <family val="1"/>
    </font>
    <font>
      <sz val="10"/>
      <color rgb="FFFF0000"/>
      <name val="Kartika"/>
      <family val="1"/>
    </font>
    <font>
      <b/>
      <sz val="9"/>
      <color rgb="FFFF0000"/>
      <name val="Kartika"/>
      <family val="1"/>
    </font>
    <font>
      <b/>
      <sz val="14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name val="Calibri"/>
      <family val="2"/>
    </font>
    <font>
      <sz val="15"/>
      <name val="Calibri"/>
      <family val="2"/>
      <scheme val="minor"/>
    </font>
    <font>
      <sz val="12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56">
    <xf numFmtId="0" fontId="0" fillId="0" borderId="0" xfId="0"/>
    <xf numFmtId="0" fontId="10" fillId="0" borderId="0" xfId="0" applyFont="1"/>
    <xf numFmtId="0" fontId="11" fillId="10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vertical="center"/>
    </xf>
    <xf numFmtId="2" fontId="12" fillId="13" borderId="17" xfId="0" applyNumberFormat="1" applyFont="1" applyFill="1" applyBorder="1" applyAlignment="1">
      <alignment horizontal="center" vertical="center"/>
    </xf>
    <xf numFmtId="2" fontId="13" fillId="13" borderId="17" xfId="0" applyNumberFormat="1" applyFont="1" applyFill="1" applyBorder="1" applyAlignment="1">
      <alignment horizontal="center" vertical="center"/>
    </xf>
    <xf numFmtId="2" fontId="12" fillId="6" borderId="17" xfId="0" applyNumberFormat="1" applyFont="1" applyFill="1" applyBorder="1" applyAlignment="1">
      <alignment horizontal="center" vertical="center"/>
    </xf>
    <xf numFmtId="2" fontId="13" fillId="3" borderId="17" xfId="0" applyNumberFormat="1" applyFont="1" applyFill="1" applyBorder="1" applyAlignment="1">
      <alignment horizontal="center" vertical="center"/>
    </xf>
    <xf numFmtId="2" fontId="13" fillId="6" borderId="17" xfId="0" applyNumberFormat="1" applyFont="1" applyFill="1" applyBorder="1" applyAlignment="1">
      <alignment horizontal="center" vertical="center"/>
    </xf>
    <xf numFmtId="2" fontId="13" fillId="2" borderId="17" xfId="0" applyNumberFormat="1" applyFont="1" applyFill="1" applyBorder="1" applyAlignment="1">
      <alignment horizontal="center" vertical="center"/>
    </xf>
    <xf numFmtId="2" fontId="12" fillId="2" borderId="17" xfId="0" applyNumberFormat="1" applyFont="1" applyFill="1" applyBorder="1" applyAlignment="1">
      <alignment horizontal="center" vertical="center"/>
    </xf>
    <xf numFmtId="2" fontId="13" fillId="4" borderId="17" xfId="0" applyNumberFormat="1" applyFont="1" applyFill="1" applyBorder="1" applyAlignment="1">
      <alignment horizontal="center" vertical="center"/>
    </xf>
    <xf numFmtId="2" fontId="12" fillId="4" borderId="17" xfId="0" applyNumberFormat="1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 wrapText="1"/>
    </xf>
    <xf numFmtId="2" fontId="13" fillId="3" borderId="18" xfId="0" applyNumberFormat="1" applyFont="1" applyFill="1" applyBorder="1" applyAlignment="1">
      <alignment horizontal="center" vertical="center"/>
    </xf>
    <xf numFmtId="2" fontId="12" fillId="6" borderId="19" xfId="0" applyNumberFormat="1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vertical="center"/>
    </xf>
    <xf numFmtId="2" fontId="12" fillId="13" borderId="18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4" fillId="6" borderId="17" xfId="0" applyNumberFormat="1" applyFont="1" applyFill="1" applyBorder="1" applyAlignment="1">
      <alignment horizontal="center" vertical="center"/>
    </xf>
    <xf numFmtId="2" fontId="14" fillId="3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2" fillId="14" borderId="18" xfId="0" applyFont="1" applyFill="1" applyBorder="1" applyAlignment="1">
      <alignment horizontal="center"/>
    </xf>
    <xf numFmtId="0" fontId="12" fillId="12" borderId="17" xfId="0" applyFont="1" applyFill="1" applyBorder="1" applyAlignment="1">
      <alignment vertical="center"/>
    </xf>
    <xf numFmtId="10" fontId="14" fillId="3" borderId="17" xfId="0" applyNumberFormat="1" applyFont="1" applyFill="1" applyBorder="1" applyAlignment="1">
      <alignment horizontal="center" vertical="center"/>
    </xf>
    <xf numFmtId="10" fontId="12" fillId="3" borderId="17" xfId="0" applyNumberFormat="1" applyFont="1" applyFill="1" applyBorder="1" applyAlignment="1">
      <alignment horizontal="center" vertical="center"/>
    </xf>
    <xf numFmtId="2" fontId="12" fillId="14" borderId="17" xfId="0" applyNumberFormat="1" applyFont="1" applyFill="1" applyBorder="1" applyAlignment="1">
      <alignment horizontal="center" vertical="center"/>
    </xf>
    <xf numFmtId="10" fontId="12" fillId="14" borderId="17" xfId="0" applyNumberFormat="1" applyFont="1" applyFill="1" applyBorder="1" applyAlignment="1">
      <alignment horizontal="center" vertical="center"/>
    </xf>
    <xf numFmtId="2" fontId="12" fillId="14" borderId="19" xfId="0" applyNumberFormat="1" applyFont="1" applyFill="1" applyBorder="1" applyAlignment="1">
      <alignment horizontal="center" vertical="center"/>
    </xf>
    <xf numFmtId="2" fontId="12" fillId="14" borderId="18" xfId="0" applyNumberFormat="1" applyFont="1" applyFill="1" applyBorder="1" applyAlignment="1">
      <alignment horizontal="center" vertical="center"/>
    </xf>
    <xf numFmtId="2" fontId="14" fillId="14" borderId="17" xfId="0" applyNumberFormat="1" applyFont="1" applyFill="1" applyBorder="1" applyAlignment="1">
      <alignment horizontal="center" vertical="center"/>
    </xf>
    <xf numFmtId="10" fontId="14" fillId="1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13" fillId="2" borderId="17" xfId="0" applyNumberFormat="1" applyFont="1" applyFill="1" applyBorder="1" applyAlignment="1">
      <alignment horizontal="center" vertical="center"/>
    </xf>
    <xf numFmtId="166" fontId="12" fillId="2" borderId="17" xfId="0" applyNumberFormat="1" applyFont="1" applyFill="1" applyBorder="1" applyAlignment="1">
      <alignment horizontal="center" vertical="center"/>
    </xf>
    <xf numFmtId="166" fontId="14" fillId="2" borderId="17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11" fillId="3" borderId="17" xfId="0" applyNumberFormat="1" applyFont="1" applyFill="1" applyBorder="1" applyAlignment="1">
      <alignment horizontal="center" vertical="center"/>
    </xf>
    <xf numFmtId="2" fontId="12" fillId="3" borderId="17" xfId="0" applyNumberFormat="1" applyFont="1" applyFill="1" applyBorder="1" applyAlignment="1">
      <alignment horizontal="center" vertical="center"/>
    </xf>
    <xf numFmtId="2" fontId="12" fillId="3" borderId="18" xfId="0" applyNumberFormat="1" applyFont="1" applyFill="1" applyBorder="1" applyAlignment="1">
      <alignment horizontal="center" vertical="center"/>
    </xf>
    <xf numFmtId="2" fontId="12" fillId="3" borderId="21" xfId="0" applyNumberFormat="1" applyFont="1" applyFill="1" applyBorder="1" applyAlignment="1">
      <alignment horizontal="center" vertical="center"/>
    </xf>
    <xf numFmtId="2" fontId="12" fillId="3" borderId="15" xfId="0" applyNumberFormat="1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2" fillId="0" borderId="0" xfId="0" applyNumberFormat="1" applyFont="1" applyAlignment="1">
      <alignment horizontal="center"/>
    </xf>
    <xf numFmtId="2" fontId="15" fillId="0" borderId="0" xfId="0" applyNumberFormat="1" applyFont="1" applyAlignment="1">
      <alignment vertical="center"/>
    </xf>
    <xf numFmtId="0" fontId="10" fillId="0" borderId="0" xfId="0" applyFont="1" applyAlignment="1">
      <alignment horizontal="center"/>
    </xf>
    <xf numFmtId="0" fontId="10" fillId="15" borderId="0" xfId="0" applyFont="1" applyFill="1"/>
    <xf numFmtId="0" fontId="11" fillId="0" borderId="1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6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/>
    </xf>
    <xf numFmtId="2" fontId="15" fillId="6" borderId="2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5" fillId="2" borderId="3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vertical="top" wrapText="1"/>
    </xf>
    <xf numFmtId="0" fontId="16" fillId="7" borderId="2" xfId="0" applyFont="1" applyFill="1" applyBorder="1" applyAlignment="1">
      <alignment horizontal="center" vertical="top" wrapText="1"/>
    </xf>
    <xf numFmtId="2" fontId="6" fillId="7" borderId="2" xfId="0" applyNumberFormat="1" applyFont="1" applyFill="1" applyBorder="1" applyAlignment="1">
      <alignment horizontal="center" vertical="top" wrapText="1"/>
    </xf>
    <xf numFmtId="0" fontId="6" fillId="10" borderId="2" xfId="0" applyFont="1" applyFill="1" applyBorder="1" applyAlignment="1">
      <alignment horizontal="left" vertical="center" wrapText="1"/>
    </xf>
    <xf numFmtId="2" fontId="11" fillId="10" borderId="2" xfId="0" applyNumberFormat="1" applyFont="1" applyFill="1" applyBorder="1" applyAlignment="1">
      <alignment horizontal="center" vertical="center" wrapText="1"/>
    </xf>
    <xf numFmtId="166" fontId="11" fillId="10" borderId="2" xfId="0" applyNumberFormat="1" applyFont="1" applyFill="1" applyBorder="1" applyAlignment="1">
      <alignment horizontal="center" vertical="center"/>
    </xf>
    <xf numFmtId="10" fontId="15" fillId="10" borderId="2" xfId="2" applyNumberFormat="1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left" vertical="center" wrapText="1"/>
    </xf>
    <xf numFmtId="2" fontId="11" fillId="17" borderId="2" xfId="0" applyNumberFormat="1" applyFont="1" applyFill="1" applyBorder="1" applyAlignment="1">
      <alignment horizontal="center" vertical="center" wrapText="1"/>
    </xf>
    <xf numFmtId="10" fontId="15" fillId="17" borderId="2" xfId="2" applyNumberFormat="1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vertical="top"/>
    </xf>
    <xf numFmtId="0" fontId="6" fillId="17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top" wrapText="1"/>
    </xf>
    <xf numFmtId="0" fontId="16" fillId="7" borderId="5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16" fillId="10" borderId="4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/>
    </xf>
    <xf numFmtId="2" fontId="11" fillId="17" borderId="3" xfId="0" applyNumberFormat="1" applyFont="1" applyFill="1" applyBorder="1" applyAlignment="1">
      <alignment horizontal="center" vertical="center" wrapText="1"/>
    </xf>
    <xf numFmtId="10" fontId="15" fillId="17" borderId="3" xfId="2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2" fontId="11" fillId="2" borderId="3" xfId="0" applyNumberFormat="1" applyFont="1" applyFill="1" applyBorder="1" applyAlignment="1">
      <alignment horizontal="center" vertical="center"/>
    </xf>
    <xf numFmtId="2" fontId="15" fillId="17" borderId="2" xfId="0" applyNumberFormat="1" applyFont="1" applyFill="1" applyBorder="1" applyAlignment="1">
      <alignment horizontal="center" vertical="center" wrapText="1"/>
    </xf>
    <xf numFmtId="167" fontId="11" fillId="10" borderId="2" xfId="0" applyNumberFormat="1" applyFont="1" applyFill="1" applyBorder="1" applyAlignment="1">
      <alignment horizontal="center" vertical="center" wrapText="1"/>
    </xf>
    <xf numFmtId="2" fontId="11" fillId="17" borderId="5" xfId="0" applyNumberFormat="1" applyFont="1" applyFill="1" applyBorder="1" applyAlignment="1">
      <alignment horizontal="center" vertical="center" wrapText="1"/>
    </xf>
    <xf numFmtId="2" fontId="15" fillId="10" borderId="2" xfId="0" applyNumberFormat="1" applyFont="1" applyFill="1" applyBorder="1" applyAlignment="1">
      <alignment horizontal="center" vertical="center"/>
    </xf>
    <xf numFmtId="0" fontId="17" fillId="10" borderId="5" xfId="0" applyFont="1" applyFill="1" applyBorder="1"/>
    <xf numFmtId="0" fontId="17" fillId="10" borderId="5" xfId="0" applyFont="1" applyFill="1" applyBorder="1" applyAlignment="1">
      <alignment wrapText="1"/>
    </xf>
    <xf numFmtId="0" fontId="6" fillId="10" borderId="5" xfId="0" applyFont="1" applyFill="1" applyBorder="1" applyAlignment="1">
      <alignment vertical="center"/>
    </xf>
    <xf numFmtId="0" fontId="17" fillId="10" borderId="5" xfId="0" applyFont="1" applyFill="1" applyBorder="1" applyAlignment="1">
      <alignment horizontal="left" vertical="center" wrapText="1"/>
    </xf>
    <xf numFmtId="2" fontId="17" fillId="10" borderId="5" xfId="0" applyNumberFormat="1" applyFont="1" applyFill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vertical="center" wrapText="1"/>
    </xf>
    <xf numFmtId="2" fontId="11" fillId="17" borderId="7" xfId="0" applyNumberFormat="1" applyFont="1" applyFill="1" applyBorder="1" applyAlignment="1">
      <alignment horizontal="center" vertical="center" wrapText="1"/>
    </xf>
    <xf numFmtId="168" fontId="15" fillId="2" borderId="2" xfId="0" applyNumberFormat="1" applyFont="1" applyFill="1" applyBorder="1" applyAlignment="1">
      <alignment horizontal="center" vertical="center"/>
    </xf>
    <xf numFmtId="166" fontId="7" fillId="10" borderId="2" xfId="0" applyNumberFormat="1" applyFont="1" applyFill="1" applyBorder="1" applyAlignment="1">
      <alignment horizontal="center" vertical="center" wrapText="1"/>
    </xf>
    <xf numFmtId="2" fontId="7" fillId="17" borderId="2" xfId="0" applyNumberFormat="1" applyFont="1" applyFill="1" applyBorder="1" applyAlignment="1">
      <alignment horizontal="center" vertical="center" wrapText="1"/>
    </xf>
    <xf numFmtId="166" fontId="7" fillId="10" borderId="2" xfId="0" applyNumberFormat="1" applyFont="1" applyFill="1" applyBorder="1" applyAlignment="1">
      <alignment horizontal="center" vertical="center"/>
    </xf>
    <xf numFmtId="166" fontId="7" fillId="17" borderId="2" xfId="0" applyNumberFormat="1" applyFont="1" applyFill="1" applyBorder="1" applyAlignment="1">
      <alignment horizontal="center" vertical="center"/>
    </xf>
    <xf numFmtId="166" fontId="7" fillId="17" borderId="2" xfId="0" applyNumberFormat="1" applyFont="1" applyFill="1" applyBorder="1" applyAlignment="1">
      <alignment horizontal="center" vertical="center" wrapText="1"/>
    </xf>
    <xf numFmtId="166" fontId="7" fillId="17" borderId="3" xfId="0" applyNumberFormat="1" applyFont="1" applyFill="1" applyBorder="1" applyAlignment="1">
      <alignment horizontal="center" wrapText="1"/>
    </xf>
    <xf numFmtId="2" fontId="15" fillId="10" borderId="2" xfId="0" applyNumberFormat="1" applyFont="1" applyFill="1" applyBorder="1" applyAlignment="1">
      <alignment horizontal="center" vertical="center" wrapText="1"/>
    </xf>
    <xf numFmtId="2" fontId="15" fillId="17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2" fontId="15" fillId="6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8" fillId="10" borderId="5" xfId="0" applyFont="1" applyFill="1" applyBorder="1" applyAlignment="1">
      <alignment vertical="center" wrapText="1"/>
    </xf>
    <xf numFmtId="0" fontId="11" fillId="19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2" fontId="11" fillId="2" borderId="2" xfId="0" applyNumberFormat="1" applyFont="1" applyFill="1" applyBorder="1" applyAlignment="1">
      <alignment horizontal="center" vertical="center"/>
    </xf>
    <xf numFmtId="2" fontId="11" fillId="6" borderId="2" xfId="0" applyNumberFormat="1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 wrapText="1"/>
    </xf>
    <xf numFmtId="168" fontId="11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15" borderId="0" xfId="0" applyFont="1" applyFill="1" applyAlignment="1">
      <alignment horizontal="center"/>
    </xf>
    <xf numFmtId="0" fontId="15" fillId="15" borderId="0" xfId="0" applyFont="1" applyFill="1" applyAlignment="1">
      <alignment horizontal="center" vertical="center"/>
    </xf>
    <xf numFmtId="164" fontId="15" fillId="15" borderId="0" xfId="0" applyNumberFormat="1" applyFont="1" applyFill="1" applyAlignment="1">
      <alignment horizontal="center"/>
    </xf>
    <xf numFmtId="0" fontId="15" fillId="15" borderId="0" xfId="0" applyFont="1" applyFill="1"/>
    <xf numFmtId="0" fontId="15" fillId="0" borderId="0" xfId="0" applyFont="1"/>
    <xf numFmtId="0" fontId="19" fillId="5" borderId="2" xfId="0" applyFont="1" applyFill="1" applyBorder="1" applyAlignment="1">
      <alignment horizontal="left" vertical="center"/>
    </xf>
    <xf numFmtId="2" fontId="25" fillId="0" borderId="0" xfId="0" applyNumberFormat="1" applyFont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7" fillId="0" borderId="0" xfId="0" applyFont="1"/>
    <xf numFmtId="0" fontId="26" fillId="0" borderId="0" xfId="0" applyFont="1"/>
    <xf numFmtId="0" fontId="28" fillId="0" borderId="0" xfId="0" applyFont="1"/>
    <xf numFmtId="0" fontId="11" fillId="2" borderId="3" xfId="0" applyFont="1" applyFill="1" applyBorder="1" applyAlignment="1">
      <alignment horizontal="center" vertical="center"/>
    </xf>
    <xf numFmtId="43" fontId="15" fillId="6" borderId="2" xfId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left" vertical="center"/>
    </xf>
    <xf numFmtId="43" fontId="15" fillId="2" borderId="2" xfId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/>
    </xf>
    <xf numFmtId="43" fontId="15" fillId="6" borderId="1" xfId="1" applyFont="1" applyFill="1" applyBorder="1" applyAlignment="1">
      <alignment horizontal="center" vertical="center"/>
    </xf>
    <xf numFmtId="43" fontId="15" fillId="6" borderId="5" xfId="1" applyFont="1" applyFill="1" applyBorder="1" applyAlignment="1">
      <alignment horizontal="left" vertical="center" wrapText="1"/>
    </xf>
    <xf numFmtId="170" fontId="15" fillId="2" borderId="2" xfId="1" applyNumberFormat="1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top" wrapText="1"/>
    </xf>
    <xf numFmtId="43" fontId="11" fillId="2" borderId="2" xfId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166" fontId="11" fillId="2" borderId="3" xfId="0" applyNumberFormat="1" applyFont="1" applyFill="1" applyBorder="1" applyAlignment="1">
      <alignment horizontal="center" vertical="center"/>
    </xf>
    <xf numFmtId="43" fontId="11" fillId="2" borderId="3" xfId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43" fontId="15" fillId="0" borderId="0" xfId="1" applyFont="1" applyFill="1" applyBorder="1" applyAlignment="1">
      <alignment horizontal="center"/>
    </xf>
    <xf numFmtId="165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43" fontId="28" fillId="0" borderId="0" xfId="1" applyFont="1" applyFill="1" applyAlignment="1">
      <alignment horizontal="center"/>
    </xf>
    <xf numFmtId="43" fontId="10" fillId="0" borderId="0" xfId="1" applyFont="1" applyFill="1" applyAlignment="1">
      <alignment horizontal="center"/>
    </xf>
    <xf numFmtId="165" fontId="10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0" fillId="0" borderId="13" xfId="0" applyFont="1" applyBorder="1"/>
    <xf numFmtId="0" fontId="10" fillId="0" borderId="14" xfId="0" applyFont="1" applyBorder="1"/>
    <xf numFmtId="2" fontId="26" fillId="0" borderId="0" xfId="0" applyNumberFormat="1" applyFont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2" fillId="14" borderId="17" xfId="0" applyFont="1" applyFill="1" applyBorder="1" applyAlignment="1">
      <alignment horizontal="center" wrapText="1"/>
    </xf>
    <xf numFmtId="0" fontId="12" fillId="14" borderId="18" xfId="0" applyFont="1" applyFill="1" applyBorder="1" applyAlignment="1">
      <alignment horizontal="center"/>
    </xf>
    <xf numFmtId="0" fontId="12" fillId="14" borderId="17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2" fontId="13" fillId="3" borderId="18" xfId="0" applyNumberFormat="1" applyFont="1" applyFill="1" applyBorder="1" applyAlignment="1">
      <alignment horizontal="center" vertical="center"/>
    </xf>
    <xf numFmtId="2" fontId="13" fillId="3" borderId="15" xfId="0" applyNumberFormat="1" applyFont="1" applyFill="1" applyBorder="1" applyAlignment="1">
      <alignment horizontal="center" vertical="center"/>
    </xf>
    <xf numFmtId="2" fontId="11" fillId="3" borderId="18" xfId="0" applyNumberFormat="1" applyFont="1" applyFill="1" applyBorder="1" applyAlignment="1">
      <alignment horizontal="center" vertical="center"/>
    </xf>
    <xf numFmtId="0" fontId="0" fillId="0" borderId="15" xfId="0" applyBorder="1"/>
    <xf numFmtId="2" fontId="11" fillId="3" borderId="15" xfId="0" applyNumberFormat="1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" fillId="12" borderId="19" xfId="0" applyFont="1" applyFill="1" applyBorder="1" applyAlignment="1">
      <alignment horizontal="center" vertical="center" wrapText="1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16" xfId="0" applyFont="1" applyFill="1" applyBorder="1" applyAlignment="1">
      <alignment horizontal="center" vertical="center" wrapText="1"/>
    </xf>
    <xf numFmtId="169" fontId="24" fillId="12" borderId="17" xfId="0" applyNumberFormat="1" applyFont="1" applyFill="1" applyBorder="1" applyAlignment="1">
      <alignment horizontal="center" vertical="center" wrapText="1"/>
    </xf>
    <xf numFmtId="169" fontId="24" fillId="12" borderId="17" xfId="0" applyNumberFormat="1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7" xfId="0" applyFont="1" applyFill="1" applyBorder="1" applyAlignment="1">
      <alignment horizontal="center"/>
    </xf>
    <xf numFmtId="0" fontId="12" fillId="12" borderId="23" xfId="0" applyFont="1" applyFill="1" applyBorder="1" applyAlignment="1">
      <alignment horizontal="center"/>
    </xf>
    <xf numFmtId="0" fontId="12" fillId="12" borderId="16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/>
    </xf>
    <xf numFmtId="0" fontId="12" fillId="13" borderId="17" xfId="0" applyFont="1" applyFill="1" applyBorder="1" applyAlignment="1">
      <alignment horizontal="center"/>
    </xf>
    <xf numFmtId="0" fontId="12" fillId="20" borderId="24" xfId="0" applyFont="1" applyFill="1" applyBorder="1" applyAlignment="1">
      <alignment horizontal="center"/>
    </xf>
    <xf numFmtId="0" fontId="12" fillId="20" borderId="15" xfId="0" applyFont="1" applyFill="1" applyBorder="1" applyAlignment="1">
      <alignment horizontal="center"/>
    </xf>
    <xf numFmtId="0" fontId="12" fillId="14" borderId="24" xfId="0" applyFont="1" applyFill="1" applyBorder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/>
    </xf>
    <xf numFmtId="0" fontId="12" fillId="6" borderId="16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14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1</xdr:col>
      <xdr:colOff>1135380</xdr:colOff>
      <xdr:row>0</xdr:row>
      <xdr:rowOff>601980</xdr:rowOff>
    </xdr:to>
    <xdr:pic>
      <xdr:nvPicPr>
        <xdr:cNvPr id="21519" name="Picture 2">
          <a:extLst>
            <a:ext uri="{FF2B5EF4-FFF2-40B4-BE49-F238E27FC236}">
              <a16:creationId xmlns:a16="http://schemas.microsoft.com/office/drawing/2014/main" xmlns="" id="{CA2EB852-372E-455B-99F5-FE31984B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38100"/>
          <a:ext cx="113538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M%20SAFETY/CONTROL%20ROOM%20UPDATES/2026%20JUNE/06.06.2026/Reservoir%20Statistics%2012.06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M_DATA"/>
      <sheetName val="CMD_MU"/>
    </sheetNames>
    <sheetDataSet>
      <sheetData sheetId="0">
        <row r="5">
          <cell r="A5" t="str">
            <v>IDUKKI ( WL in Feet)</v>
          </cell>
          <cell r="B5">
            <v>2403</v>
          </cell>
        </row>
        <row r="6">
          <cell r="A6" t="str">
            <v>IDAMALAYAR</v>
          </cell>
          <cell r="B6">
            <v>169</v>
          </cell>
        </row>
        <row r="7">
          <cell r="A7" t="str">
            <v>KAKKI</v>
          </cell>
          <cell r="B7">
            <v>981.46</v>
          </cell>
        </row>
        <row r="8">
          <cell r="A8" t="str">
            <v>PAMBA</v>
          </cell>
          <cell r="B8">
            <v>986.33</v>
          </cell>
        </row>
        <row r="9">
          <cell r="A9" t="str">
            <v>BANASURASAGAR</v>
          </cell>
          <cell r="B9">
            <v>775.6</v>
          </cell>
        </row>
        <row r="10">
          <cell r="A10" t="str">
            <v>KAKKAYAM</v>
          </cell>
          <cell r="B10">
            <v>758.04</v>
          </cell>
        </row>
        <row r="11">
          <cell r="A11" t="str">
            <v>SHOLAYAR (WL in Feet)</v>
          </cell>
          <cell r="B11">
            <v>2663</v>
          </cell>
        </row>
        <row r="12">
          <cell r="A12" t="str">
            <v>KUNDALA</v>
          </cell>
          <cell r="B12">
            <v>1758.69</v>
          </cell>
        </row>
        <row r="13">
          <cell r="A13" t="str">
            <v>MADUPETTY</v>
          </cell>
          <cell r="B13">
            <v>1599.59</v>
          </cell>
        </row>
        <row r="14">
          <cell r="A14" t="str">
            <v>ANAYIRANKAL</v>
          </cell>
          <cell r="B14">
            <v>1207.02</v>
          </cell>
        </row>
        <row r="15">
          <cell r="A15" t="str">
            <v>PONMUDUI</v>
          </cell>
          <cell r="B15">
            <v>707.75</v>
          </cell>
        </row>
        <row r="16">
          <cell r="A16" t="str">
            <v>PORINGALKUTHU</v>
          </cell>
          <cell r="B16">
            <v>423.98</v>
          </cell>
        </row>
        <row r="17">
          <cell r="A17" t="str">
            <v>KALLARKUTTY</v>
          </cell>
          <cell r="B17">
            <v>456.95</v>
          </cell>
        </row>
        <row r="18">
          <cell r="A18" t="str">
            <v>LOWER PERIYAR</v>
          </cell>
          <cell r="B18">
            <v>253</v>
          </cell>
        </row>
        <row r="19">
          <cell r="A19" t="str">
            <v>MOOZHIYAR</v>
          </cell>
          <cell r="B19">
            <v>192.63</v>
          </cell>
        </row>
        <row r="20">
          <cell r="A20" t="str">
            <v>SENGULAM</v>
          </cell>
          <cell r="B20">
            <v>847.64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5"/>
  <sheetViews>
    <sheetView zoomScale="70" zoomScaleNormal="70" zoomScaleSheetLayoutView="70" workbookViewId="0">
      <pane ySplit="3" topLeftCell="A4" activePane="bottomLeft" state="frozen"/>
      <selection pane="bottomLeft" activeCell="I9" sqref="I9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124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2321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343.54</v>
      </c>
      <c r="N5" s="126">
        <f t="shared" ref="N5:N22" si="0">ROUND((M5/L5)*100,2)</f>
        <v>23.54</v>
      </c>
      <c r="O5" s="58" t="e">
        <f>(#REF!/L5)</f>
        <v>#REF!</v>
      </c>
      <c r="P5" s="59">
        <v>3.911</v>
      </c>
      <c r="Q5" s="58">
        <f>ROUND((P5*1000000/(24*3600)),2)</f>
        <v>45.27</v>
      </c>
      <c r="R5" s="59">
        <v>0.98040000000000005</v>
      </c>
      <c r="S5" s="149">
        <v>0</v>
      </c>
      <c r="T5" s="149">
        <v>0</v>
      </c>
      <c r="U5" s="59">
        <f t="shared" ref="U5:U22" si="1">R5+S5</f>
        <v>0.98040000000000005</v>
      </c>
      <c r="V5" s="59">
        <v>23</v>
      </c>
      <c r="W5" s="152"/>
      <c r="X5" s="131">
        <v>1.42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138.52000000000001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281.12</v>
      </c>
      <c r="N6" s="127">
        <f t="shared" si="0"/>
        <v>27.62</v>
      </c>
      <c r="O6" s="57" t="e">
        <f>(#REF!/L6)</f>
        <v>#REF!</v>
      </c>
      <c r="P6" s="60">
        <v>3.9416000000000002</v>
      </c>
      <c r="Q6" s="57">
        <f>ROUND((P6*1000000/(24*3600)),2)</f>
        <v>45.62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17.2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947.81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99.06</v>
      </c>
      <c r="N7" s="126">
        <f t="shared" si="0"/>
        <v>22.19</v>
      </c>
      <c r="O7" s="58" t="e">
        <f>(#REF!/L7)</f>
        <v>#REF!</v>
      </c>
      <c r="P7" s="59">
        <v>1.5678000000000001</v>
      </c>
      <c r="Q7" s="58">
        <f t="shared" ref="Q7:Q22" si="2">ROUND((P7*1000000/(24*3600)),2)</f>
        <v>18.149999999999999</v>
      </c>
      <c r="R7" s="59">
        <v>0.42780000000000001</v>
      </c>
      <c r="S7" s="149">
        <v>0</v>
      </c>
      <c r="T7" s="149">
        <v>0</v>
      </c>
      <c r="U7" s="59">
        <f t="shared" si="1"/>
        <v>0.42780000000000001</v>
      </c>
      <c r="V7" s="59">
        <v>46</v>
      </c>
      <c r="W7" s="151"/>
      <c r="X7" s="131">
        <v>0.69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756.15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21.55</v>
      </c>
      <c r="N8" s="127">
        <f t="shared" si="0"/>
        <v>10.72</v>
      </c>
      <c r="O8" s="57" t="e">
        <f>(#REF!/L8)</f>
        <v>#REF!</v>
      </c>
      <c r="P8" s="60">
        <v>0.9</v>
      </c>
      <c r="Q8" s="57">
        <f>ROUND((P8*1000000/(24*3600)),2)</f>
        <v>10.42</v>
      </c>
      <c r="R8" s="60"/>
      <c r="S8" s="147">
        <v>0</v>
      </c>
      <c r="T8" s="147">
        <v>0</v>
      </c>
      <c r="U8" s="60">
        <f t="shared" si="1"/>
        <v>0</v>
      </c>
      <c r="V8" s="60">
        <v>16.399999999999999</v>
      </c>
      <c r="W8" s="150" t="s">
        <v>126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2589.5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19.09</v>
      </c>
      <c r="N9" s="126">
        <f t="shared" si="0"/>
        <v>12.8</v>
      </c>
      <c r="O9" s="58" t="e">
        <f>(#REF!/L9)</f>
        <v>#REF!</v>
      </c>
      <c r="P9" s="59">
        <v>0.59870000000000001</v>
      </c>
      <c r="Q9" s="58">
        <f t="shared" si="2"/>
        <v>6.93</v>
      </c>
      <c r="R9" s="59">
        <v>0.32690000000000002</v>
      </c>
      <c r="S9" s="149">
        <v>0</v>
      </c>
      <c r="T9" s="149">
        <v>0</v>
      </c>
      <c r="U9" s="59">
        <f t="shared" si="1"/>
        <v>0.32690000000000002</v>
      </c>
      <c r="V9" s="59">
        <v>29</v>
      </c>
      <c r="W9" s="151"/>
      <c r="X9" s="131">
        <v>0.20630000000000001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1568.1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2.39</v>
      </c>
      <c r="N10" s="127">
        <f t="shared" si="0"/>
        <v>4.3600000000000003</v>
      </c>
      <c r="O10" s="57" t="e">
        <f>(#REF!/L10)</f>
        <v>#REF!</v>
      </c>
      <c r="P10" s="60">
        <v>0.13900000000000001</v>
      </c>
      <c r="Q10" s="57">
        <f t="shared" si="2"/>
        <v>1.61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10</v>
      </c>
      <c r="W10" s="150" t="s">
        <v>123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1194.95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9.9481999999999999</v>
      </c>
      <c r="N11" s="126">
        <f t="shared" si="0"/>
        <v>19.96</v>
      </c>
      <c r="O11" s="58" t="e">
        <f>(#REF!/L11)</f>
        <v>#REF!</v>
      </c>
      <c r="P11" s="59">
        <v>6.9400000000000003E-2</v>
      </c>
      <c r="Q11" s="59">
        <f t="shared" si="2"/>
        <v>0.8</v>
      </c>
      <c r="R11" s="59"/>
      <c r="S11" s="155">
        <v>0</v>
      </c>
      <c r="T11" s="149">
        <v>0</v>
      </c>
      <c r="U11" s="58">
        <f t="shared" si="1"/>
        <v>0</v>
      </c>
      <c r="V11" s="59">
        <v>7</v>
      </c>
      <c r="W11" s="150" t="s">
        <v>122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691.15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15.788500000000001</v>
      </c>
      <c r="N12" s="127">
        <f t="shared" si="0"/>
        <v>33.31</v>
      </c>
      <c r="O12" s="57" t="e">
        <f>(#REF!/L12)</f>
        <v>#REF!</v>
      </c>
      <c r="P12" s="60">
        <v>0.55269999999999997</v>
      </c>
      <c r="Q12" s="57">
        <f t="shared" si="2"/>
        <v>6.4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27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747.61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11.462</v>
      </c>
      <c r="N13" s="126">
        <f t="shared" si="0"/>
        <v>33.729999999999997</v>
      </c>
      <c r="O13" s="58" t="e">
        <f>(#REF!/L13)</f>
        <v>#REF!</v>
      </c>
      <c r="P13" s="59">
        <v>1.4100999999999999</v>
      </c>
      <c r="Q13" s="58">
        <f t="shared" si="2"/>
        <v>16.32</v>
      </c>
      <c r="R13" s="59">
        <v>5.0099999999999999E-2</v>
      </c>
      <c r="S13" s="149">
        <v>0</v>
      </c>
      <c r="T13" s="149">
        <v>0</v>
      </c>
      <c r="U13" s="59">
        <f t="shared" si="1"/>
        <v>5.0099999999999999E-2</v>
      </c>
      <c r="V13" s="59">
        <v>61</v>
      </c>
      <c r="W13" s="152"/>
      <c r="X13" s="131">
        <v>7.1599999999999997E-2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964.45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0.97</v>
      </c>
      <c r="N14" s="127">
        <f t="shared" si="0"/>
        <v>3.11</v>
      </c>
      <c r="O14" s="57" t="e">
        <f>(#REF!/L14)</f>
        <v>#REF!</v>
      </c>
      <c r="P14" s="60">
        <v>1.357</v>
      </c>
      <c r="Q14" s="57">
        <f>ROUND((P14*1000000/(24*3600)),2)</f>
        <v>15.71</v>
      </c>
      <c r="R14" s="60"/>
      <c r="S14" s="147">
        <v>0</v>
      </c>
      <c r="T14" s="147">
        <v>0</v>
      </c>
      <c r="U14" s="60">
        <f t="shared" si="1"/>
        <v>0</v>
      </c>
      <c r="V14" s="60">
        <v>27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11.1</v>
      </c>
      <c r="N15" s="126">
        <f t="shared" si="0"/>
        <v>36.630000000000003</v>
      </c>
      <c r="O15" s="58" t="e">
        <f>(#REF!/L15)</f>
        <v>#REF!</v>
      </c>
      <c r="P15" s="59">
        <v>1.4766999999999999</v>
      </c>
      <c r="Q15" s="58">
        <f t="shared" si="2"/>
        <v>17.09</v>
      </c>
      <c r="R15" s="59">
        <v>0.8992</v>
      </c>
      <c r="S15" s="149">
        <v>0</v>
      </c>
      <c r="T15" s="149">
        <v>0</v>
      </c>
      <c r="U15" s="59">
        <f t="shared" si="1"/>
        <v>0.8992</v>
      </c>
      <c r="V15" s="59">
        <v>33.4</v>
      </c>
      <c r="W15" s="151"/>
      <c r="X15" s="131">
        <v>0.35358000000000001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1746.35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1.3580000000000001</v>
      </c>
      <c r="N16" s="127">
        <f t="shared" si="0"/>
        <v>17.75</v>
      </c>
      <c r="O16" s="57" t="e">
        <f>(#REF!/L16)</f>
        <v>#REF!</v>
      </c>
      <c r="P16" s="60">
        <v>2.8000000000000001E-2</v>
      </c>
      <c r="Q16" s="57">
        <f t="shared" si="2"/>
        <v>0.32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5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35.1" customHeight="1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452.3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3.8620000000000001</v>
      </c>
      <c r="N17" s="126">
        <f t="shared" si="0"/>
        <v>60.06</v>
      </c>
      <c r="O17" s="58" t="e">
        <f>(#REF!/L17)</f>
        <v>#REF!</v>
      </c>
      <c r="P17" s="59">
        <v>1.4011</v>
      </c>
      <c r="Q17" s="58">
        <f t="shared" si="2"/>
        <v>16.22</v>
      </c>
      <c r="R17" s="59">
        <v>1.6817</v>
      </c>
      <c r="S17" s="149">
        <v>0</v>
      </c>
      <c r="T17" s="149">
        <v>0</v>
      </c>
      <c r="U17" s="59">
        <f t="shared" si="1"/>
        <v>1.6817</v>
      </c>
      <c r="V17" s="59">
        <v>22</v>
      </c>
      <c r="W17" s="150"/>
      <c r="X17" s="131">
        <v>0.78759999999999997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35.1" customHeight="1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746.4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0.54669999999999996</v>
      </c>
      <c r="N18" s="127">
        <f t="shared" si="0"/>
        <v>10.33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35.25" customHeight="1">
      <c r="A19" s="58">
        <v>15</v>
      </c>
      <c r="B19" s="130" t="s">
        <v>32</v>
      </c>
      <c r="C19" s="58" t="s">
        <v>11</v>
      </c>
      <c r="D19" s="58">
        <v>253</v>
      </c>
      <c r="E19" s="58"/>
      <c r="F19" s="126">
        <v>248.4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2.6659999999999999</v>
      </c>
      <c r="N19" s="126">
        <f t="shared" si="0"/>
        <v>58.59</v>
      </c>
      <c r="O19" s="58" t="e">
        <f>(#REF!/L19)</f>
        <v>#REF!</v>
      </c>
      <c r="P19" s="59">
        <v>2.1616</v>
      </c>
      <c r="Q19" s="58">
        <f t="shared" si="2"/>
        <v>25.02</v>
      </c>
      <c r="R19" s="59">
        <v>2.3565999999999998</v>
      </c>
      <c r="S19" s="149">
        <v>0</v>
      </c>
      <c r="T19" s="149">
        <v>0</v>
      </c>
      <c r="U19" s="59">
        <f t="shared" si="1"/>
        <v>2.3565999999999998</v>
      </c>
      <c r="V19" s="59">
        <v>34</v>
      </c>
      <c r="W19" s="151"/>
      <c r="X19" s="131">
        <v>1.085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30.75" customHeight="1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185.1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0.28299999999999997</v>
      </c>
      <c r="N20" s="127">
        <f t="shared" si="0"/>
        <v>24.4</v>
      </c>
      <c r="O20" s="57" t="e">
        <f>(#REF!/L20)</f>
        <v>#REF!</v>
      </c>
      <c r="P20" s="60">
        <v>1.0691999999999999</v>
      </c>
      <c r="Q20" s="60">
        <f t="shared" si="2"/>
        <v>12.38</v>
      </c>
      <c r="R20" s="60">
        <v>0.87160000000000004</v>
      </c>
      <c r="S20" s="147">
        <v>0</v>
      </c>
      <c r="T20" s="153">
        <v>0</v>
      </c>
      <c r="U20" s="60">
        <f t="shared" si="1"/>
        <v>0.87160000000000004</v>
      </c>
      <c r="V20" s="60">
        <v>18</v>
      </c>
      <c r="W20" s="154"/>
      <c r="X20" s="131">
        <v>0.26817000000000002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35.1" customHeight="1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35.1" customHeight="1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0.16500000000000001</v>
      </c>
      <c r="N22" s="139">
        <f t="shared" si="0"/>
        <v>42.31</v>
      </c>
      <c r="O22" s="115" t="e">
        <f>(#REF!/L22)</f>
        <v>#REF!</v>
      </c>
      <c r="P22" s="116">
        <v>0.70509999999999995</v>
      </c>
      <c r="Q22" s="115">
        <f t="shared" si="2"/>
        <v>8.16</v>
      </c>
      <c r="R22" s="116">
        <v>0.75229999999999997</v>
      </c>
      <c r="S22" s="153">
        <v>0</v>
      </c>
      <c r="T22" s="153">
        <v>0</v>
      </c>
      <c r="U22" s="116">
        <f t="shared" si="1"/>
        <v>0.75229999999999997</v>
      </c>
      <c r="V22" s="116">
        <v>7.5</v>
      </c>
      <c r="W22" s="156"/>
      <c r="X22" s="131">
        <v>0.59240000000000004</v>
      </c>
      <c r="Y22" s="132"/>
      <c r="Z22" s="135"/>
      <c r="AA22" s="135"/>
    </row>
    <row r="23" spans="1:27" ht="35.1" customHeight="1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825.09</v>
      </c>
      <c r="N23" s="146">
        <f t="shared" ref="N23" si="3">ROUND((M23/L23)*100,2)</f>
        <v>23.26</v>
      </c>
      <c r="O23" s="146" t="e">
        <f>(#REF!/L23)</f>
        <v>#REF!</v>
      </c>
      <c r="P23" s="89"/>
      <c r="Q23" s="146"/>
      <c r="R23" s="162"/>
      <c r="S23" s="163"/>
      <c r="T23" s="162"/>
      <c r="U23" s="89"/>
      <c r="V23" s="61"/>
      <c r="W23" s="164"/>
      <c r="X23" s="131"/>
    </row>
    <row r="24" spans="1:27" ht="15.75" customHeight="1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T25:W25"/>
    <mergeCell ref="B23:D23"/>
  </mergeCells>
  <printOptions horizontalCentered="1"/>
  <pageMargins left="0.19685039370078741" right="0.19685039370078741" top="0.19685039370078741" bottom="0" header="0.11811023622047245" footer="0.11811023622047245"/>
  <pageSetup paperSize="9" scale="59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44"/>
  <sheetViews>
    <sheetView zoomScale="70" zoomScaleNormal="70" zoomScaleSheetLayoutView="85" workbookViewId="0">
      <selection activeCell="W9" sqref="W9"/>
    </sheetView>
  </sheetViews>
  <sheetFormatPr defaultRowHeight="15"/>
  <cols>
    <col min="1" max="1" width="4.5703125" customWidth="1"/>
    <col min="2" max="2" width="23" customWidth="1"/>
    <col min="3" max="3" width="9.42578125" customWidth="1"/>
    <col min="4" max="4" width="10.42578125" customWidth="1"/>
    <col min="5" max="6" width="10.5703125" customWidth="1"/>
    <col min="7" max="7" width="9.42578125" customWidth="1"/>
    <col min="8" max="8" width="10.5703125" customWidth="1"/>
    <col min="9" max="9" width="9.5703125" customWidth="1"/>
    <col min="10" max="10" width="9.42578125" customWidth="1"/>
    <col min="11" max="11" width="14.42578125" customWidth="1"/>
    <col min="12" max="12" width="9.42578125" customWidth="1"/>
    <col min="13" max="13" width="13.42578125" customWidth="1"/>
    <col min="14" max="14" width="9.42578125" customWidth="1"/>
    <col min="15" max="15" width="12.5703125" customWidth="1"/>
    <col min="16" max="16" width="10.42578125" customWidth="1"/>
    <col min="17" max="17" width="11.42578125" customWidth="1"/>
    <col min="19" max="19" width="14.5703125" customWidth="1"/>
    <col min="20" max="20" width="13.42578125" customWidth="1"/>
    <col min="21" max="21" width="16.5703125" customWidth="1"/>
    <col min="22" max="22" width="18.42578125" customWidth="1"/>
  </cols>
  <sheetData>
    <row r="1" spans="1:23" ht="52.5" customHeight="1">
      <c r="A1" s="225"/>
      <c r="B1" s="225"/>
      <c r="C1" s="226" t="s">
        <v>120</v>
      </c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  <c r="P1" s="229" t="s">
        <v>125</v>
      </c>
      <c r="Q1" s="230"/>
    </row>
    <row r="2" spans="1:23" ht="19.5" customHeight="1">
      <c r="A2" s="231" t="s">
        <v>36</v>
      </c>
      <c r="B2" s="233" t="s">
        <v>37</v>
      </c>
      <c r="C2" s="236" t="s">
        <v>38</v>
      </c>
      <c r="D2" s="236"/>
      <c r="E2" s="237" t="s">
        <v>39</v>
      </c>
      <c r="F2" s="238"/>
      <c r="G2" s="238"/>
      <c r="H2" s="238"/>
      <c r="I2" s="238"/>
      <c r="J2" s="242" t="s">
        <v>40</v>
      </c>
      <c r="K2" s="243"/>
      <c r="L2" s="244" t="s">
        <v>41</v>
      </c>
      <c r="M2" s="245"/>
      <c r="N2" s="246" t="s">
        <v>42</v>
      </c>
      <c r="O2" s="247"/>
      <c r="P2" s="216" t="s">
        <v>43</v>
      </c>
      <c r="Q2" s="217"/>
      <c r="S2" s="210" t="s">
        <v>53</v>
      </c>
      <c r="T2" s="210" t="s">
        <v>52</v>
      </c>
      <c r="U2" s="210" t="s">
        <v>54</v>
      </c>
      <c r="V2" s="210" t="s">
        <v>55</v>
      </c>
      <c r="W2" s="25"/>
    </row>
    <row r="3" spans="1:23" ht="19.5" customHeight="1">
      <c r="A3" s="232"/>
      <c r="B3" s="234"/>
      <c r="C3" s="239" t="s">
        <v>44</v>
      </c>
      <c r="D3" s="241" t="s">
        <v>45</v>
      </c>
      <c r="E3" s="213" t="s">
        <v>46</v>
      </c>
      <c r="F3" s="215" t="s">
        <v>45</v>
      </c>
      <c r="G3" s="215"/>
      <c r="H3" s="215" t="s">
        <v>47</v>
      </c>
      <c r="I3" s="215"/>
      <c r="J3" s="223" t="s">
        <v>45</v>
      </c>
      <c r="K3" s="248" t="s">
        <v>48</v>
      </c>
      <c r="L3" s="223" t="s">
        <v>45</v>
      </c>
      <c r="M3" s="248" t="s">
        <v>48</v>
      </c>
      <c r="N3" s="223" t="s">
        <v>45</v>
      </c>
      <c r="O3" s="213" t="s">
        <v>48</v>
      </c>
      <c r="P3" s="215" t="s">
        <v>45</v>
      </c>
      <c r="Q3" s="213" t="s">
        <v>48</v>
      </c>
      <c r="S3" s="210"/>
      <c r="T3" s="210"/>
      <c r="U3" s="210"/>
      <c r="V3" s="210"/>
      <c r="W3" s="25"/>
    </row>
    <row r="4" spans="1:23" ht="15.75">
      <c r="A4" s="232"/>
      <c r="B4" s="235"/>
      <c r="C4" s="240"/>
      <c r="D4" s="224"/>
      <c r="E4" s="214"/>
      <c r="F4" s="26" t="s">
        <v>49</v>
      </c>
      <c r="G4" s="26" t="s">
        <v>50</v>
      </c>
      <c r="H4" s="26" t="s">
        <v>49</v>
      </c>
      <c r="I4" s="26" t="s">
        <v>50</v>
      </c>
      <c r="J4" s="224"/>
      <c r="K4" s="224"/>
      <c r="L4" s="224"/>
      <c r="M4" s="224"/>
      <c r="N4" s="224"/>
      <c r="O4" s="214"/>
      <c r="P4" s="214"/>
      <c r="Q4" s="214"/>
      <c r="S4" s="210"/>
      <c r="T4" s="210"/>
      <c r="U4" s="210"/>
      <c r="V4" s="210"/>
      <c r="W4" s="25"/>
    </row>
    <row r="5" spans="1:23" ht="30" customHeight="1">
      <c r="A5" s="5">
        <v>1</v>
      </c>
      <c r="B5" s="6" t="str">
        <f>[1]MCM_DATA!A5</f>
        <v>IDUKKI ( WL in Feet)</v>
      </c>
      <c r="C5" s="7">
        <f>[1]MCM_DATA!B5</f>
        <v>2403</v>
      </c>
      <c r="D5" s="8">
        <f>'01.07.2026'!F5</f>
        <v>2321</v>
      </c>
      <c r="E5" s="9">
        <f>'01.07.2026'!L5*1.5</f>
        <v>2189.2350000000001</v>
      </c>
      <c r="F5" s="30">
        <f>'01.07.2026'!M5*1.5</f>
        <v>515.31000000000006</v>
      </c>
      <c r="G5" s="31">
        <f>ROUND((F5/E5),4)</f>
        <v>0.2354</v>
      </c>
      <c r="H5" s="42">
        <v>511.14600000000002</v>
      </c>
      <c r="I5" s="29">
        <f>ROUND((H5/E5),4)</f>
        <v>0.23350000000000001</v>
      </c>
      <c r="J5" s="11">
        <f>ROUND(((('01.07.2026'!Q5*24*3600)/1000000)*1.5),2)</f>
        <v>5.87</v>
      </c>
      <c r="K5" s="9">
        <f>J5+S5</f>
        <v>185.11999999999998</v>
      </c>
      <c r="L5" s="10">
        <f>'01.07.2026'!X5</f>
        <v>1.42</v>
      </c>
      <c r="M5" s="41">
        <f>L5+T5</f>
        <v>124.58799999999999</v>
      </c>
      <c r="N5" s="12">
        <f>ROUND(((('01.07.2026'!T5*24*3600)/1000000)*1.5),2)</f>
        <v>0</v>
      </c>
      <c r="O5" s="13">
        <f t="shared" ref="O5:O20" si="0">U5+N5</f>
        <v>0</v>
      </c>
      <c r="P5" s="14">
        <f>'01.07.2026'!V5</f>
        <v>23</v>
      </c>
      <c r="Q5" s="15">
        <f>P5+V5</f>
        <v>452.5999999999998</v>
      </c>
      <c r="S5" s="49">
        <v>179.24999999999997</v>
      </c>
      <c r="T5" s="47">
        <v>123.16799999999999</v>
      </c>
      <c r="U5" s="46">
        <v>0</v>
      </c>
      <c r="V5" s="46">
        <v>429.5999999999998</v>
      </c>
    </row>
    <row r="6" spans="1:23" ht="30" customHeight="1">
      <c r="A6" s="16">
        <v>2</v>
      </c>
      <c r="B6" s="6" t="str">
        <f>[1]MCM_DATA!A6</f>
        <v>IDAMALAYAR</v>
      </c>
      <c r="C6" s="7">
        <f>[1]MCM_DATA!B6</f>
        <v>169</v>
      </c>
      <c r="D6" s="8">
        <f>'01.07.2026'!F6</f>
        <v>138.52000000000001</v>
      </c>
      <c r="E6" s="9">
        <f>'01.07.2026'!L6*0.25</f>
        <v>254.45</v>
      </c>
      <c r="F6" s="30">
        <f>'01.07.2026'!M6*0.25</f>
        <v>70.28</v>
      </c>
      <c r="G6" s="31">
        <f t="shared" ref="G6:G20" si="1">ROUND((F6/E6),4)</f>
        <v>0.2762</v>
      </c>
      <c r="H6" s="43">
        <v>69.308750000000003</v>
      </c>
      <c r="I6" s="29">
        <f t="shared" ref="I6:I20" si="2">ROUND((H6/E6),4)</f>
        <v>0.27239999999999998</v>
      </c>
      <c r="J6" s="11">
        <f>ROUND(((('01.07.2026'!Q6*24*3600)/1000000)*0.25),2)</f>
        <v>0.99</v>
      </c>
      <c r="K6" s="9">
        <f t="shared" ref="K6:K20" si="3">J6+S6</f>
        <v>18.949999999999996</v>
      </c>
      <c r="L6" s="10">
        <f>'01.07.2026'!X6</f>
        <v>0</v>
      </c>
      <c r="M6" s="41">
        <f>L6+T6</f>
        <v>4.0681000000000003</v>
      </c>
      <c r="N6" s="12">
        <f>ROUND(((('01.07.2026'!T6*24*3600)/1000000)*0.25),2)</f>
        <v>0</v>
      </c>
      <c r="O6" s="13">
        <f t="shared" si="0"/>
        <v>0</v>
      </c>
      <c r="P6" s="14">
        <f>'01.07.2026'!V6</f>
        <v>17.2</v>
      </c>
      <c r="Q6" s="15">
        <f t="shared" ref="Q6:Q20" si="4">P6+V6</f>
        <v>652.20000000000005</v>
      </c>
      <c r="S6" s="49">
        <v>17.959999999999997</v>
      </c>
      <c r="T6" s="47">
        <v>4.0681000000000003</v>
      </c>
      <c r="U6" s="46">
        <v>0</v>
      </c>
      <c r="V6" s="46">
        <v>635</v>
      </c>
    </row>
    <row r="7" spans="1:23" ht="30" customHeight="1">
      <c r="A7" s="16">
        <v>3</v>
      </c>
      <c r="B7" s="6" t="str">
        <f>[1]MCM_DATA!A7</f>
        <v>KAKKI</v>
      </c>
      <c r="C7" s="7">
        <f>[1]MCM_DATA!B7</f>
        <v>981.46</v>
      </c>
      <c r="D7" s="8">
        <f>'01.07.2026'!F7</f>
        <v>947.81</v>
      </c>
      <c r="E7" s="18">
        <f>'01.07.2026'!L7*1.918</f>
        <v>856.40617999999995</v>
      </c>
      <c r="F7" s="32">
        <f>'01.07.2026'!M7*1.918</f>
        <v>189.99708000000001</v>
      </c>
      <c r="G7" s="31">
        <f t="shared" si="1"/>
        <v>0.22189999999999999</v>
      </c>
      <c r="H7" s="42">
        <v>187.81056000000001</v>
      </c>
      <c r="I7" s="29">
        <f>ROUND((H7/E7),4)</f>
        <v>0.21929999999999999</v>
      </c>
      <c r="J7" s="11">
        <f>ROUND(((('01.07.2026'!Q7*24*3600)/1000000)*1.918),2)</f>
        <v>3.01</v>
      </c>
      <c r="K7" s="9">
        <f t="shared" si="3"/>
        <v>132.83999999999997</v>
      </c>
      <c r="L7" s="218">
        <f>'01.07.2026'!X7</f>
        <v>0.69</v>
      </c>
      <c r="M7" s="220">
        <f>L7+T7</f>
        <v>44.721800000000009</v>
      </c>
      <c r="N7" s="12">
        <f>ROUND(((('01.07.2026'!T7*24*3600)/1000000)*1.918),2)</f>
        <v>0</v>
      </c>
      <c r="O7" s="13">
        <f t="shared" si="0"/>
        <v>0</v>
      </c>
      <c r="P7" s="14">
        <f>'01.07.2026'!V7</f>
        <v>46</v>
      </c>
      <c r="Q7" s="15">
        <f t="shared" si="4"/>
        <v>846</v>
      </c>
      <c r="S7" s="49">
        <v>129.82999999999998</v>
      </c>
      <c r="T7" s="212">
        <v>44.031800000000011</v>
      </c>
      <c r="U7" s="46">
        <v>0</v>
      </c>
      <c r="V7" s="46">
        <v>800</v>
      </c>
    </row>
    <row r="8" spans="1:23" ht="30" customHeight="1">
      <c r="A8" s="16">
        <v>4</v>
      </c>
      <c r="B8" s="6" t="str">
        <f>[1]MCM_DATA!A8</f>
        <v>PAMBA</v>
      </c>
      <c r="C8" s="7">
        <f>[1]MCM_DATA!B8</f>
        <v>986.33</v>
      </c>
      <c r="D8" s="8">
        <f>'01.07.2026'!F14</f>
        <v>964.45</v>
      </c>
      <c r="E8" s="18">
        <f>'01.07.2026'!L14*1.918</f>
        <v>59.745699999999992</v>
      </c>
      <c r="F8" s="32">
        <f>'01.07.2026'!M14*1.918</f>
        <v>1.8604599999999998</v>
      </c>
      <c r="G8" s="31">
        <f t="shared" si="1"/>
        <v>3.1099999999999999E-2</v>
      </c>
      <c r="H8" s="43">
        <v>1.6302999999999999</v>
      </c>
      <c r="I8" s="29">
        <f t="shared" si="2"/>
        <v>2.7300000000000001E-2</v>
      </c>
      <c r="J8" s="11">
        <f>ROUND(((('01.07.2026'!Q14*24*3600)/1000000)*1.918),2)</f>
        <v>2.6</v>
      </c>
      <c r="K8" s="9">
        <f t="shared" si="3"/>
        <v>124.69000000000003</v>
      </c>
      <c r="L8" s="219"/>
      <c r="M8" s="222"/>
      <c r="N8" s="12">
        <f>ROUND(((('01.07.2026'!T14*24*3600)/1000000)*1.918),2)</f>
        <v>0</v>
      </c>
      <c r="O8" s="13">
        <f t="shared" si="0"/>
        <v>0</v>
      </c>
      <c r="P8" s="14">
        <f>'01.07.2026'!V14</f>
        <v>27</v>
      </c>
      <c r="Q8" s="15">
        <f t="shared" si="4"/>
        <v>647</v>
      </c>
      <c r="S8" s="49">
        <v>122.09000000000003</v>
      </c>
      <c r="T8" s="212"/>
      <c r="U8" s="46">
        <v>0</v>
      </c>
      <c r="V8" s="46">
        <v>620</v>
      </c>
    </row>
    <row r="9" spans="1:23" ht="30" customHeight="1">
      <c r="A9" s="16">
        <v>5</v>
      </c>
      <c r="B9" s="6" t="str">
        <f>[1]MCM_DATA!A9</f>
        <v>BANASURASAGAR</v>
      </c>
      <c r="C9" s="7">
        <f>[1]MCM_DATA!B9</f>
        <v>775.6</v>
      </c>
      <c r="D9" s="8">
        <f>'01.07.2026'!F8</f>
        <v>756.15</v>
      </c>
      <c r="E9" s="18">
        <f>'01.07.2026'!L8*1.26</f>
        <v>253.26</v>
      </c>
      <c r="F9" s="32">
        <f>'01.07.2026'!M8*1.26</f>
        <v>27.153000000000002</v>
      </c>
      <c r="G9" s="31">
        <f t="shared" si="1"/>
        <v>0.1072</v>
      </c>
      <c r="H9" s="42">
        <v>26.018999999999998</v>
      </c>
      <c r="I9" s="29">
        <f t="shared" si="2"/>
        <v>0.1027</v>
      </c>
      <c r="J9" s="11">
        <f>ROUND(((('01.07.2026'!Q8*24*3600)/1000000)*1.26),2)</f>
        <v>1.1299999999999999</v>
      </c>
      <c r="K9" s="9">
        <f t="shared" si="3"/>
        <v>14.45</v>
      </c>
      <c r="L9" s="218">
        <f>'01.07.2026'!X13</f>
        <v>7.1599999999999997E-2</v>
      </c>
      <c r="M9" s="220">
        <f>L9+T9</f>
        <v>23.282700000000002</v>
      </c>
      <c r="N9" s="12">
        <f>ROUND(((('01.07.2026'!T8*24*3600)/1000000)*1.26),2)</f>
        <v>0</v>
      </c>
      <c r="O9" s="13">
        <f t="shared" si="0"/>
        <v>0</v>
      </c>
      <c r="P9" s="14">
        <f>'01.07.2026'!V8</f>
        <v>16.399999999999999</v>
      </c>
      <c r="Q9" s="15">
        <f t="shared" si="4"/>
        <v>316.19999999999993</v>
      </c>
      <c r="S9" s="49">
        <v>13.32</v>
      </c>
      <c r="T9" s="212">
        <v>23.211100000000002</v>
      </c>
      <c r="U9" s="46">
        <v>0</v>
      </c>
      <c r="V9" s="46">
        <v>299.79999999999995</v>
      </c>
    </row>
    <row r="10" spans="1:23" ht="30" customHeight="1">
      <c r="A10" s="16">
        <v>6</v>
      </c>
      <c r="B10" s="6" t="str">
        <f>[1]MCM_DATA!A10</f>
        <v>KAKKAYAM</v>
      </c>
      <c r="C10" s="7">
        <f>[1]MCM_DATA!B10</f>
        <v>758.04</v>
      </c>
      <c r="D10" s="8">
        <f>'01.07.2026'!F13</f>
        <v>747.61</v>
      </c>
      <c r="E10" s="18">
        <f>'01.07.2026'!L13*1.26</f>
        <v>42.814799999999998</v>
      </c>
      <c r="F10" s="32">
        <f>'01.07.2026'!M13*1.26</f>
        <v>14.442119999999999</v>
      </c>
      <c r="G10" s="31">
        <f t="shared" si="1"/>
        <v>0.33729999999999999</v>
      </c>
      <c r="H10" s="42">
        <v>12.72852</v>
      </c>
      <c r="I10" s="29">
        <f t="shared" si="2"/>
        <v>0.29730000000000001</v>
      </c>
      <c r="J10" s="11">
        <f>ROUND(((('01.07.2026'!Q13*24*3600)/1000000)*1.26),2)</f>
        <v>1.78</v>
      </c>
      <c r="K10" s="9">
        <f t="shared" si="3"/>
        <v>23.35</v>
      </c>
      <c r="L10" s="219"/>
      <c r="M10" s="222"/>
      <c r="N10" s="12">
        <f>ROUND(((('01.07.2026'!T13*24*3600)/1000000)*1.26),2)</f>
        <v>0</v>
      </c>
      <c r="O10" s="13">
        <f t="shared" si="0"/>
        <v>0</v>
      </c>
      <c r="P10" s="14">
        <f>'01.07.2026'!V13</f>
        <v>61</v>
      </c>
      <c r="Q10" s="15">
        <f t="shared" si="4"/>
        <v>936</v>
      </c>
      <c r="S10" s="49">
        <v>21.57</v>
      </c>
      <c r="T10" s="212"/>
      <c r="U10" s="46">
        <v>0</v>
      </c>
      <c r="V10" s="46">
        <v>875</v>
      </c>
    </row>
    <row r="11" spans="1:23" ht="30" customHeight="1">
      <c r="A11" s="16">
        <v>7</v>
      </c>
      <c r="B11" s="6" t="str">
        <f>[1]MCM_DATA!A11</f>
        <v>SHOLAYAR (WL in Feet)</v>
      </c>
      <c r="C11" s="7">
        <f>[1]MCM_DATA!B11</f>
        <v>2663</v>
      </c>
      <c r="D11" s="8">
        <f>'01.07.2026'!F9</f>
        <v>2589.5</v>
      </c>
      <c r="E11" s="9">
        <f>'01.07.2026'!L9*1.02</f>
        <v>152.07078000000001</v>
      </c>
      <c r="F11" s="30">
        <f>'01.07.2026'!M9*1.02</f>
        <v>19.471800000000002</v>
      </c>
      <c r="G11" s="31">
        <f t="shared" si="1"/>
        <v>0.128</v>
      </c>
      <c r="H11" s="44">
        <v>19.186199999999999</v>
      </c>
      <c r="I11" s="29">
        <f t="shared" si="2"/>
        <v>0.12620000000000001</v>
      </c>
      <c r="J11" s="11">
        <f>ROUND(((('01.07.2026'!Q9*24*3600)/1000000)*1.02),2)</f>
        <v>0.61</v>
      </c>
      <c r="K11" s="9">
        <f t="shared" si="3"/>
        <v>12.729999999999997</v>
      </c>
      <c r="L11" s="10">
        <f>'01.07.2026'!X9</f>
        <v>0.20630000000000001</v>
      </c>
      <c r="M11" s="41">
        <f>L11+T11</f>
        <v>7.6168999999999993</v>
      </c>
      <c r="N11" s="12">
        <f>ROUND(((('01.07.2026'!T9*24*3600)/1000000)*1.02),2)</f>
        <v>0</v>
      </c>
      <c r="O11" s="13">
        <f t="shared" si="0"/>
        <v>0</v>
      </c>
      <c r="P11" s="14">
        <f>'01.07.2026'!V9</f>
        <v>29</v>
      </c>
      <c r="Q11" s="15">
        <f t="shared" si="4"/>
        <v>521.59999999999991</v>
      </c>
      <c r="S11" s="49">
        <v>12.119999999999997</v>
      </c>
      <c r="T11" s="47">
        <v>7.4105999999999996</v>
      </c>
      <c r="U11" s="46">
        <v>0</v>
      </c>
      <c r="V11" s="46">
        <v>492.59999999999985</v>
      </c>
    </row>
    <row r="12" spans="1:23" ht="30" customHeight="1">
      <c r="A12" s="16">
        <v>8</v>
      </c>
      <c r="B12" s="6" t="str">
        <f>[1]MCM_DATA!A12</f>
        <v>KUNDALA</v>
      </c>
      <c r="C12" s="7">
        <f>[1]MCM_DATA!B12</f>
        <v>1758.69</v>
      </c>
      <c r="D12" s="8">
        <f>'01.07.2026'!F16</f>
        <v>1746.35</v>
      </c>
      <c r="E12" s="18">
        <f>'01.07.2026'!L16*2.92</f>
        <v>22.338000000000001</v>
      </c>
      <c r="F12" s="32">
        <f>'01.07.2026'!M16*2.92</f>
        <v>3.96536</v>
      </c>
      <c r="G12" s="31">
        <f t="shared" si="1"/>
        <v>0.17749999999999999</v>
      </c>
      <c r="H12" s="42">
        <v>3.8835999999999999</v>
      </c>
      <c r="I12" s="29">
        <f t="shared" si="2"/>
        <v>0.1739</v>
      </c>
      <c r="J12" s="11">
        <f>ROUND(((('01.07.2026'!Q16*24*3600)/1000000)*2.92),2)</f>
        <v>0.08</v>
      </c>
      <c r="K12" s="9">
        <f t="shared" si="3"/>
        <v>9.3899999999999988</v>
      </c>
      <c r="L12" s="218">
        <f>'01.07.2026'!X10</f>
        <v>0</v>
      </c>
      <c r="M12" s="220">
        <f>T12+L12</f>
        <v>0</v>
      </c>
      <c r="N12" s="12">
        <f>ROUND(((('01.07.2026'!T16*24*3600)/1000000)*2.92),2)</f>
        <v>0</v>
      </c>
      <c r="O12" s="13">
        <f t="shared" si="0"/>
        <v>0</v>
      </c>
      <c r="P12" s="14">
        <f>'01.07.2026'!V16</f>
        <v>5</v>
      </c>
      <c r="Q12" s="15">
        <f t="shared" si="4"/>
        <v>183.40000000000003</v>
      </c>
      <c r="S12" s="49">
        <v>9.3099999999999987</v>
      </c>
      <c r="T12" s="212">
        <v>0</v>
      </c>
      <c r="U12" s="46">
        <v>0</v>
      </c>
      <c r="V12" s="46">
        <v>178.40000000000003</v>
      </c>
    </row>
    <row r="13" spans="1:23" ht="30" customHeight="1">
      <c r="A13" s="16">
        <v>9</v>
      </c>
      <c r="B13" s="6" t="str">
        <f>[1]MCM_DATA!A13</f>
        <v>MADUPETTY</v>
      </c>
      <c r="C13" s="7">
        <f>[1]MCM_DATA!B13</f>
        <v>1599.59</v>
      </c>
      <c r="D13" s="8">
        <f>'01.07.2026'!F10</f>
        <v>1568.1</v>
      </c>
      <c r="E13" s="18">
        <f>'01.07.2026'!L10*1.263</f>
        <v>69.174509999999998</v>
      </c>
      <c r="F13" s="32">
        <f>'01.07.2026'!M10*1.263</f>
        <v>3.01857</v>
      </c>
      <c r="G13" s="31">
        <f t="shared" si="1"/>
        <v>4.36E-2</v>
      </c>
      <c r="H13" s="43">
        <v>3.46062</v>
      </c>
      <c r="I13" s="29">
        <f t="shared" si="2"/>
        <v>0.05</v>
      </c>
      <c r="J13" s="11">
        <f>ROUND(((('01.07.2026'!Q10*24*3600)/1000000)*1.263),2)</f>
        <v>0.18</v>
      </c>
      <c r="K13" s="9">
        <f>J13+S13</f>
        <v>10.600000000000001</v>
      </c>
      <c r="L13" s="219"/>
      <c r="M13" s="221"/>
      <c r="N13" s="12">
        <f>ROUND(((('01.07.2026'!T10*24*3600)/1000000)*1.263),2)</f>
        <v>0</v>
      </c>
      <c r="O13" s="13">
        <f t="shared" si="0"/>
        <v>0</v>
      </c>
      <c r="P13" s="14">
        <f>'01.07.2026'!V10</f>
        <v>10</v>
      </c>
      <c r="Q13" s="15">
        <f t="shared" si="4"/>
        <v>270.40000000000003</v>
      </c>
      <c r="S13" s="49">
        <v>10.420000000000002</v>
      </c>
      <c r="T13" s="212"/>
      <c r="U13" s="46">
        <v>0</v>
      </c>
      <c r="V13" s="46">
        <v>260.40000000000003</v>
      </c>
    </row>
    <row r="14" spans="1:23" ht="30" customHeight="1">
      <c r="A14" s="16">
        <v>10</v>
      </c>
      <c r="B14" s="6" t="str">
        <f>[1]MCM_DATA!A14</f>
        <v>ANAYIRANKAL</v>
      </c>
      <c r="C14" s="7">
        <f>[1]MCM_DATA!B14</f>
        <v>1207.02</v>
      </c>
      <c r="D14" s="8">
        <f>'01.07.2026'!F11</f>
        <v>1194.95</v>
      </c>
      <c r="E14" s="18">
        <f>'01.07.2026'!L11*1.34</f>
        <v>66.772199999999998</v>
      </c>
      <c r="F14" s="32">
        <f>'01.07.2026'!M11*1.34</f>
        <v>13.330588000000001</v>
      </c>
      <c r="G14" s="31">
        <f t="shared" si="1"/>
        <v>0.1996</v>
      </c>
      <c r="H14" s="42">
        <v>13.237592000000001</v>
      </c>
      <c r="I14" s="29">
        <f t="shared" si="2"/>
        <v>0.1983</v>
      </c>
      <c r="J14" s="11">
        <f>ROUND(((('01.07.2026'!Q11*24*3600)/1000000)*1.34),2)</f>
        <v>0.09</v>
      </c>
      <c r="K14" s="9">
        <f t="shared" si="3"/>
        <v>11.769999999999998</v>
      </c>
      <c r="L14" s="218">
        <f>'01.07.2026'!X12</f>
        <v>0</v>
      </c>
      <c r="M14" s="220">
        <f>T14+L14</f>
        <v>6.1216000000000008</v>
      </c>
      <c r="N14" s="12">
        <f>ROUND(((('01.07.2026'!T11*24*3600)/1000000)*1.34),2)</f>
        <v>0</v>
      </c>
      <c r="O14" s="13">
        <f t="shared" si="0"/>
        <v>0</v>
      </c>
      <c r="P14" s="14">
        <f>'01.07.2026'!V11</f>
        <v>7</v>
      </c>
      <c r="Q14" s="15">
        <f t="shared" si="4"/>
        <v>245</v>
      </c>
      <c r="S14" s="49">
        <v>11.679999999999998</v>
      </c>
      <c r="T14" s="212">
        <v>6.1216000000000008</v>
      </c>
      <c r="U14" s="46">
        <v>0</v>
      </c>
      <c r="V14" s="46">
        <v>238</v>
      </c>
    </row>
    <row r="15" spans="1:23" ht="30" customHeight="1">
      <c r="A15" s="16">
        <v>11</v>
      </c>
      <c r="B15" s="6" t="str">
        <f>[1]MCM_DATA!A15</f>
        <v>PONMUDUI</v>
      </c>
      <c r="C15" s="7">
        <f>[1]MCM_DATA!B15</f>
        <v>707.75</v>
      </c>
      <c r="D15" s="8">
        <f>'01.07.2026'!F12</f>
        <v>691.15</v>
      </c>
      <c r="E15" s="9">
        <f>'01.07.2026'!L12*1.34</f>
        <v>63.516000000000005</v>
      </c>
      <c r="F15" s="30">
        <f>'01.07.2026'!M12*1.34</f>
        <v>21.156590000000001</v>
      </c>
      <c r="G15" s="31">
        <f t="shared" si="1"/>
        <v>0.33310000000000001</v>
      </c>
      <c r="H15" s="42">
        <v>20.415972</v>
      </c>
      <c r="I15" s="29">
        <f t="shared" si="2"/>
        <v>0.32140000000000002</v>
      </c>
      <c r="J15" s="11">
        <f>ROUND(((('01.07.2026'!Q12*24*3600)/1000000)*1.34),2)</f>
        <v>0.74</v>
      </c>
      <c r="K15" s="9">
        <f t="shared" si="3"/>
        <v>26.619999999999997</v>
      </c>
      <c r="L15" s="219"/>
      <c r="M15" s="221"/>
      <c r="N15" s="12">
        <f>ROUND(((('01.07.2026'!T12*24*3600)/1000000)*1.34),2)</f>
        <v>0</v>
      </c>
      <c r="O15" s="13">
        <f t="shared" si="0"/>
        <v>0</v>
      </c>
      <c r="P15" s="14">
        <f>'01.07.2026'!V12</f>
        <v>27</v>
      </c>
      <c r="Q15" s="15">
        <f t="shared" si="4"/>
        <v>355</v>
      </c>
      <c r="S15" s="49">
        <v>25.88</v>
      </c>
      <c r="T15" s="212"/>
      <c r="U15" s="46">
        <v>0</v>
      </c>
      <c r="V15" s="46">
        <v>328</v>
      </c>
    </row>
    <row r="16" spans="1:23" ht="30" customHeight="1">
      <c r="A16" s="16">
        <v>12</v>
      </c>
      <c r="B16" s="6" t="str">
        <f>[1]MCM_DATA!A16</f>
        <v>PORINGALKUTHU</v>
      </c>
      <c r="C16" s="7">
        <f>[1]MCM_DATA!B16</f>
        <v>423.98</v>
      </c>
      <c r="D16" s="8">
        <f>'01.07.2026'!F15</f>
        <v>416</v>
      </c>
      <c r="E16" s="9">
        <f>'01.07.2026'!L15*0.35</f>
        <v>10.605</v>
      </c>
      <c r="F16" s="30">
        <f>'01.07.2026'!M15*0.35</f>
        <v>3.8849999999999998</v>
      </c>
      <c r="G16" s="31">
        <f t="shared" si="1"/>
        <v>0.36630000000000001</v>
      </c>
      <c r="H16" s="45">
        <v>3.6819999999999995</v>
      </c>
      <c r="I16" s="29">
        <f t="shared" si="2"/>
        <v>0.34720000000000001</v>
      </c>
      <c r="J16" s="11">
        <f>ROUND(((('01.07.2026'!Q15*24*3600)/1000000)*0.35),2)</f>
        <v>0.52</v>
      </c>
      <c r="K16" s="9">
        <f t="shared" si="3"/>
        <v>13.5</v>
      </c>
      <c r="L16" s="10">
        <f>'01.07.2026'!X15</f>
        <v>0.35358000000000001</v>
      </c>
      <c r="M16" s="41">
        <f>L16+T16</f>
        <v>14.007300000000001</v>
      </c>
      <c r="N16" s="12">
        <f>ROUND(((('01.07.2026'!T15*24*3600)/1000000)*0.35),2)</f>
        <v>0</v>
      </c>
      <c r="O16" s="13">
        <f t="shared" si="0"/>
        <v>0</v>
      </c>
      <c r="P16" s="14">
        <f>'01.07.2026'!V15</f>
        <v>33.4</v>
      </c>
      <c r="Q16" s="15">
        <f t="shared" si="4"/>
        <v>679.8</v>
      </c>
      <c r="S16" s="49">
        <v>12.98</v>
      </c>
      <c r="T16" s="47">
        <v>13.65372</v>
      </c>
      <c r="U16" s="46">
        <v>0</v>
      </c>
      <c r="V16" s="46">
        <v>646.4</v>
      </c>
    </row>
    <row r="17" spans="1:22" ht="30" customHeight="1">
      <c r="A17" s="16">
        <v>13</v>
      </c>
      <c r="B17" s="6" t="str">
        <f>[1]MCM_DATA!A17</f>
        <v>KALLARKUTTY</v>
      </c>
      <c r="C17" s="7">
        <f>[1]MCM_DATA!B17</f>
        <v>456.95</v>
      </c>
      <c r="D17" s="8">
        <f>'01.07.2026'!F17</f>
        <v>452.3</v>
      </c>
      <c r="E17" s="9">
        <f>'01.07.2026'!L17*0.87</f>
        <v>5.5941000000000001</v>
      </c>
      <c r="F17" s="30">
        <f>'01.07.2026'!M17*0.87</f>
        <v>3.3599399999999999</v>
      </c>
      <c r="G17" s="31">
        <f t="shared" si="1"/>
        <v>0.60060000000000002</v>
      </c>
      <c r="H17" s="42">
        <v>3.6035400000000002</v>
      </c>
      <c r="I17" s="29">
        <f t="shared" si="2"/>
        <v>0.64419999999999999</v>
      </c>
      <c r="J17" s="11">
        <f>ROUND(((('01.07.2026'!Q17*24*3600)/1000000)*0.87),2)</f>
        <v>1.22</v>
      </c>
      <c r="K17" s="9">
        <f t="shared" si="3"/>
        <v>44.589999999999996</v>
      </c>
      <c r="L17" s="10">
        <f>'01.07.2026'!X17</f>
        <v>0.78759999999999997</v>
      </c>
      <c r="M17" s="41">
        <f>L17+T17</f>
        <v>24.313800000000001</v>
      </c>
      <c r="N17" s="12">
        <f>ROUND(((('01.07.2026'!T17*24*3600)/1000000)*0.87),2)</f>
        <v>0</v>
      </c>
      <c r="O17" s="13">
        <f t="shared" si="0"/>
        <v>0</v>
      </c>
      <c r="P17" s="14">
        <f>'01.07.2026'!V17</f>
        <v>22</v>
      </c>
      <c r="Q17" s="15">
        <f t="shared" si="4"/>
        <v>374</v>
      </c>
      <c r="S17" s="49">
        <v>43.37</v>
      </c>
      <c r="T17" s="138">
        <v>23.526199999999999</v>
      </c>
      <c r="U17" s="46">
        <v>0</v>
      </c>
      <c r="V17" s="46">
        <v>352</v>
      </c>
    </row>
    <row r="18" spans="1:22" ht="30" customHeight="1">
      <c r="A18" s="16">
        <v>14</v>
      </c>
      <c r="B18" s="6" t="str">
        <f>[1]MCM_DATA!A18</f>
        <v>LOWER PERIYAR</v>
      </c>
      <c r="C18" s="7">
        <f>[1]MCM_DATA!B18</f>
        <v>253</v>
      </c>
      <c r="D18" s="8">
        <f>'01.07.2026'!F19</f>
        <v>248.4</v>
      </c>
      <c r="E18" s="9">
        <f>'01.07.2026'!L19*0.46</f>
        <v>2.093</v>
      </c>
      <c r="F18" s="30">
        <f>'01.07.2026'!M19*0.46</f>
        <v>1.2263600000000001</v>
      </c>
      <c r="G18" s="31">
        <f t="shared" si="1"/>
        <v>0.58589999999999998</v>
      </c>
      <c r="H18" s="42">
        <v>1.3160600000000002</v>
      </c>
      <c r="I18" s="29">
        <f t="shared" si="2"/>
        <v>0.62880000000000003</v>
      </c>
      <c r="J18" s="11">
        <f>ROUND(((('01.07.2026'!Q19*24*3600)/1000000)*0.46),2)</f>
        <v>0.99</v>
      </c>
      <c r="K18" s="9">
        <f t="shared" si="3"/>
        <v>29.839999999999996</v>
      </c>
      <c r="L18" s="10">
        <f>'01.07.2026'!X19</f>
        <v>1.085</v>
      </c>
      <c r="M18" s="41">
        <f>L18+T18</f>
        <v>29.956</v>
      </c>
      <c r="N18" s="12">
        <f>ROUND(((('01.07.2026'!T19*24*3600)/1000000)*0.46),2)</f>
        <v>0</v>
      </c>
      <c r="O18" s="13">
        <f t="shared" si="0"/>
        <v>0</v>
      </c>
      <c r="P18" s="14">
        <f>'01.07.2026'!V19</f>
        <v>34</v>
      </c>
      <c r="Q18" s="15">
        <f t="shared" si="4"/>
        <v>472</v>
      </c>
      <c r="S18" s="49">
        <v>28.849999999999998</v>
      </c>
      <c r="T18" s="47">
        <v>28.870999999999999</v>
      </c>
      <c r="U18" s="46">
        <v>0</v>
      </c>
      <c r="V18" s="46">
        <v>438</v>
      </c>
    </row>
    <row r="19" spans="1:22" ht="30" customHeight="1">
      <c r="A19" s="19">
        <v>15</v>
      </c>
      <c r="B19" s="20" t="str">
        <f>[1]MCM_DATA!A19</f>
        <v>MOOZHIYAR</v>
      </c>
      <c r="C19" s="21">
        <f>[1]MCM_DATA!B19</f>
        <v>192.63</v>
      </c>
      <c r="D19" s="8">
        <f>'01.07.2026'!F20</f>
        <v>185.1</v>
      </c>
      <c r="E19" s="22">
        <f>'01.07.2026'!L20*0.308</f>
        <v>0.35727999999999999</v>
      </c>
      <c r="F19" s="33">
        <f>'01.07.2026'!M20*0.308</f>
        <v>8.7163999999999991E-2</v>
      </c>
      <c r="G19" s="31">
        <f t="shared" si="1"/>
        <v>0.24399999999999999</v>
      </c>
      <c r="H19" s="43">
        <v>0.11549999999999999</v>
      </c>
      <c r="I19" s="29">
        <f t="shared" si="2"/>
        <v>0.32329999999999998</v>
      </c>
      <c r="J19" s="11">
        <f>ROUND(((('01.07.2026'!Q20*24*3600)/1000000)*0.308),2)</f>
        <v>0.33</v>
      </c>
      <c r="K19" s="9">
        <f t="shared" si="3"/>
        <v>10.910000000000004</v>
      </c>
      <c r="L19" s="17">
        <f>'01.07.2026'!X20</f>
        <v>0.26817000000000002</v>
      </c>
      <c r="M19" s="41">
        <f>L19+T19</f>
        <v>12.034440000000002</v>
      </c>
      <c r="N19" s="37">
        <f>ROUND(((('01.07.2026'!T20*24*3600)/1000000)*0.308),4)</f>
        <v>0</v>
      </c>
      <c r="O19" s="38">
        <f t="shared" si="0"/>
        <v>0</v>
      </c>
      <c r="P19" s="14">
        <f>'01.07.2026'!V20</f>
        <v>18</v>
      </c>
      <c r="Q19" s="15">
        <f t="shared" si="4"/>
        <v>633</v>
      </c>
      <c r="S19" s="49">
        <v>10.580000000000004</v>
      </c>
      <c r="T19" s="47">
        <v>11.766270000000002</v>
      </c>
      <c r="U19" s="140">
        <v>0</v>
      </c>
      <c r="V19" s="46">
        <v>615</v>
      </c>
    </row>
    <row r="20" spans="1:22" ht="30" customHeight="1">
      <c r="A20" s="16">
        <v>16</v>
      </c>
      <c r="B20" s="27" t="str">
        <f>[1]MCM_DATA!A20</f>
        <v>SENGULAM</v>
      </c>
      <c r="C20" s="7">
        <f>[1]MCM_DATA!B20</f>
        <v>847.64</v>
      </c>
      <c r="D20" s="8">
        <f>'01.07.2026'!F22</f>
        <v>846.7</v>
      </c>
      <c r="E20" s="9">
        <f>'01.07.2026'!L22*0.79</f>
        <v>0.30809999999999998</v>
      </c>
      <c r="F20" s="30">
        <f>'01.07.2026'!M22*0.79</f>
        <v>0.13035000000000002</v>
      </c>
      <c r="G20" s="31">
        <f t="shared" si="1"/>
        <v>0.42309999999999998</v>
      </c>
      <c r="H20" s="42">
        <v>0.16827</v>
      </c>
      <c r="I20" s="29">
        <f t="shared" si="2"/>
        <v>0.54620000000000002</v>
      </c>
      <c r="J20" s="11">
        <f>ROUND(((('01.07.2026'!Q22*24*3600)/1000000)*0.79),2)</f>
        <v>0.56000000000000005</v>
      </c>
      <c r="K20" s="9">
        <f t="shared" si="3"/>
        <v>16.749999999999996</v>
      </c>
      <c r="L20" s="10">
        <f>'01.07.2026'!X22</f>
        <v>0.59240000000000004</v>
      </c>
      <c r="M20" s="41">
        <f>L20+T20</f>
        <v>16.729399999999998</v>
      </c>
      <c r="N20" s="12">
        <f>ROUND(((('01.07.2026'!T22*24*3600)/1000000)*0.79),2)</f>
        <v>0</v>
      </c>
      <c r="O20" s="13">
        <f t="shared" si="0"/>
        <v>0</v>
      </c>
      <c r="P20" s="14">
        <f>'01.07.2026'!V22</f>
        <v>7.5</v>
      </c>
      <c r="Q20" s="15">
        <f t="shared" si="4"/>
        <v>132.19999999999999</v>
      </c>
      <c r="S20" s="49">
        <v>16.189999999999998</v>
      </c>
      <c r="T20" s="47">
        <v>16.136999999999997</v>
      </c>
      <c r="U20" s="46">
        <v>0</v>
      </c>
      <c r="V20" s="46">
        <v>124.7</v>
      </c>
    </row>
    <row r="21" spans="1:22" ht="35.1" customHeight="1">
      <c r="A21" s="211" t="s">
        <v>51</v>
      </c>
      <c r="B21" s="211"/>
      <c r="C21" s="211"/>
      <c r="D21" s="211"/>
      <c r="E21" s="23"/>
      <c r="F21" s="34">
        <f>SUM(F5:F20)</f>
        <v>888.67438200000026</v>
      </c>
      <c r="G21" s="35"/>
      <c r="H21" s="24">
        <f>SUM(H5:H20)</f>
        <v>877.7124839999999</v>
      </c>
      <c r="I21" s="28"/>
      <c r="J21" s="23">
        <f t="shared" ref="J21:O21" si="5">SUM(J5:J20)</f>
        <v>20.699999999999992</v>
      </c>
      <c r="K21" s="23">
        <f t="shared" si="5"/>
        <v>686.1</v>
      </c>
      <c r="L21" s="24">
        <f t="shared" si="5"/>
        <v>5.4746499999999987</v>
      </c>
      <c r="M21" s="24">
        <f t="shared" si="5"/>
        <v>307.44004000000001</v>
      </c>
      <c r="N21" s="39">
        <f t="shared" si="5"/>
        <v>0</v>
      </c>
      <c r="O21" s="39">
        <f t="shared" si="5"/>
        <v>0</v>
      </c>
      <c r="P21" s="211"/>
      <c r="Q21" s="211"/>
      <c r="S21" s="47"/>
      <c r="T21" s="47"/>
      <c r="U21" s="47"/>
      <c r="V21" s="47"/>
    </row>
    <row r="22" spans="1:22" ht="15.75">
      <c r="S22" s="50"/>
      <c r="T22" s="50"/>
      <c r="U22" s="141"/>
      <c r="V22" s="51"/>
    </row>
    <row r="23" spans="1:22">
      <c r="N23" s="249" t="s">
        <v>61</v>
      </c>
      <c r="O23" s="249"/>
      <c r="P23" s="249"/>
      <c r="Q23" s="249"/>
      <c r="V23" s="40"/>
    </row>
    <row r="24" spans="1:22">
      <c r="N24" s="249" t="s">
        <v>62</v>
      </c>
      <c r="O24" s="249"/>
      <c r="P24" s="249"/>
      <c r="Q24" s="249"/>
    </row>
    <row r="25" spans="1:22">
      <c r="N25" s="249" t="s">
        <v>63</v>
      </c>
      <c r="O25" s="249"/>
      <c r="P25" s="249"/>
      <c r="Q25" s="249"/>
    </row>
    <row r="26" spans="1:22">
      <c r="N26" s="249" t="s">
        <v>64</v>
      </c>
      <c r="O26" s="249"/>
      <c r="P26" s="249"/>
      <c r="Q26" s="249"/>
    </row>
    <row r="27" spans="1:22">
      <c r="A27" s="36">
        <v>1</v>
      </c>
      <c r="B27" t="s">
        <v>56</v>
      </c>
    </row>
    <row r="28" spans="1:22">
      <c r="A28" s="36">
        <v>2</v>
      </c>
      <c r="B28" t="s">
        <v>57</v>
      </c>
    </row>
    <row r="29" spans="1:22" ht="15.75">
      <c r="A29" s="36">
        <v>3</v>
      </c>
      <c r="B29" t="s">
        <v>58</v>
      </c>
      <c r="I29" s="48"/>
    </row>
    <row r="30" spans="1:22" ht="15.75">
      <c r="A30" s="36">
        <v>4</v>
      </c>
      <c r="B30" t="s">
        <v>65</v>
      </c>
      <c r="I30" s="48"/>
    </row>
    <row r="31" spans="1:22" ht="15.75">
      <c r="A31" s="36">
        <v>5</v>
      </c>
      <c r="B31" t="s">
        <v>59</v>
      </c>
      <c r="I31" s="48"/>
    </row>
    <row r="32" spans="1:22" ht="15.75">
      <c r="A32" s="36">
        <v>6</v>
      </c>
      <c r="B32" t="s">
        <v>66</v>
      </c>
      <c r="I32" s="48"/>
    </row>
    <row r="33" spans="9:9" ht="15.75">
      <c r="I33" s="48"/>
    </row>
    <row r="34" spans="9:9" ht="15.75">
      <c r="I34" s="48"/>
    </row>
    <row r="35" spans="9:9" ht="15.75">
      <c r="I35" s="48"/>
    </row>
    <row r="36" spans="9:9" ht="15.75">
      <c r="I36" s="48"/>
    </row>
    <row r="37" spans="9:9" ht="15.75">
      <c r="I37" s="48"/>
    </row>
    <row r="38" spans="9:9" ht="15.75">
      <c r="I38" s="48"/>
    </row>
    <row r="39" spans="9:9" ht="15.75">
      <c r="I39" s="48"/>
    </row>
    <row r="40" spans="9:9" ht="15.75">
      <c r="I40" s="48"/>
    </row>
    <row r="41" spans="9:9" ht="15.75">
      <c r="I41" s="48"/>
    </row>
    <row r="42" spans="9:9" ht="15.75">
      <c r="I42" s="48"/>
    </row>
    <row r="43" spans="9:9" ht="15.75">
      <c r="I43" s="48"/>
    </row>
    <row r="44" spans="9:9" ht="15.75">
      <c r="I44" s="48"/>
    </row>
  </sheetData>
  <mergeCells count="47">
    <mergeCell ref="N26:Q26"/>
    <mergeCell ref="L14:L15"/>
    <mergeCell ref="M14:M15"/>
    <mergeCell ref="N23:Q23"/>
    <mergeCell ref="N24:Q24"/>
    <mergeCell ref="N25:Q25"/>
    <mergeCell ref="P1:Q1"/>
    <mergeCell ref="A2:A4"/>
    <mergeCell ref="B2:B4"/>
    <mergeCell ref="C2:D2"/>
    <mergeCell ref="E2:I2"/>
    <mergeCell ref="C3:C4"/>
    <mergeCell ref="D3:D4"/>
    <mergeCell ref="E3:E4"/>
    <mergeCell ref="J2:K2"/>
    <mergeCell ref="L2:M2"/>
    <mergeCell ref="N2:O2"/>
    <mergeCell ref="K3:K4"/>
    <mergeCell ref="L3:L4"/>
    <mergeCell ref="M3:M4"/>
    <mergeCell ref="F3:G3"/>
    <mergeCell ref="H3:I3"/>
    <mergeCell ref="J3:J4"/>
    <mergeCell ref="N3:N4"/>
    <mergeCell ref="A1:B1"/>
    <mergeCell ref="C1:O1"/>
    <mergeCell ref="O3:O4"/>
    <mergeCell ref="L12:L13"/>
    <mergeCell ref="M12:M13"/>
    <mergeCell ref="A21:B21"/>
    <mergeCell ref="C21:D21"/>
    <mergeCell ref="L7:L8"/>
    <mergeCell ref="M7:M8"/>
    <mergeCell ref="L9:L10"/>
    <mergeCell ref="M9:M10"/>
    <mergeCell ref="U2:U4"/>
    <mergeCell ref="V2:V4"/>
    <mergeCell ref="P21:Q21"/>
    <mergeCell ref="T7:T8"/>
    <mergeCell ref="T9:T10"/>
    <mergeCell ref="T12:T13"/>
    <mergeCell ref="S2:S4"/>
    <mergeCell ref="T14:T15"/>
    <mergeCell ref="T2:T4"/>
    <mergeCell ref="Q3:Q4"/>
    <mergeCell ref="P3:P4"/>
    <mergeCell ref="P2:Q2"/>
  </mergeCells>
  <pageMargins left="0.43307086614173229" right="0.43307086614173229" top="0.9055118110236221" bottom="0.23622047244094491" header="0.5511811023622047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="85" zoomScaleNormal="85" workbookViewId="0">
      <selection activeCell="P9" sqref="P9"/>
    </sheetView>
  </sheetViews>
  <sheetFormatPr defaultRowHeight="15"/>
  <cols>
    <col min="1" max="1" width="4.5703125" customWidth="1"/>
    <col min="2" max="2" width="29" customWidth="1"/>
    <col min="3" max="3" width="18.42578125" customWidth="1"/>
    <col min="4" max="4" width="16.42578125" customWidth="1"/>
    <col min="5" max="5" width="14.5703125" customWidth="1"/>
    <col min="6" max="6" width="18.42578125" customWidth="1"/>
    <col min="7" max="7" width="17.5703125" customWidth="1"/>
    <col min="8" max="8" width="11.42578125" customWidth="1"/>
    <col min="9" max="9" width="23.42578125" customWidth="1"/>
  </cols>
  <sheetData>
    <row r="1" spans="1:9" ht="15.75">
      <c r="A1" s="250" t="s">
        <v>75</v>
      </c>
      <c r="B1" s="251"/>
      <c r="C1" s="251"/>
      <c r="D1" s="251"/>
      <c r="E1" s="251"/>
      <c r="F1" s="251"/>
      <c r="G1" s="251"/>
      <c r="H1" s="251"/>
      <c r="I1" s="252"/>
    </row>
    <row r="2" spans="1:9" ht="20.25" customHeight="1">
      <c r="A2" s="253" t="s">
        <v>102</v>
      </c>
      <c r="B2" s="254"/>
      <c r="C2" s="254"/>
      <c r="D2" s="254"/>
      <c r="E2" s="254"/>
      <c r="F2" s="254"/>
      <c r="G2" s="254"/>
      <c r="H2" s="254"/>
      <c r="I2" s="255"/>
    </row>
    <row r="3" spans="1:9" ht="22.5" customHeight="1">
      <c r="A3" s="253" t="str">
        <f>'01.07.2026'!A2:W2</f>
        <v>DAILY REPORT - WATER LEVELS OF MAJOR RESERVOIRS  (As on 01.07.2026) 7.00 AM.</v>
      </c>
      <c r="B3" s="254"/>
      <c r="C3" s="254"/>
      <c r="D3" s="254"/>
      <c r="E3" s="254"/>
      <c r="F3" s="254"/>
      <c r="G3" s="254"/>
      <c r="H3" s="254"/>
      <c r="I3" s="255"/>
    </row>
    <row r="4" spans="1:9" ht="90.75" customHeight="1">
      <c r="A4" s="78" t="s">
        <v>1</v>
      </c>
      <c r="B4" s="64" t="s">
        <v>76</v>
      </c>
      <c r="C4" s="65" t="s">
        <v>77</v>
      </c>
      <c r="D4" s="65" t="s">
        <v>101</v>
      </c>
      <c r="E4" s="64" t="s">
        <v>78</v>
      </c>
      <c r="F4" s="64" t="s">
        <v>79</v>
      </c>
      <c r="G4" s="64" t="s">
        <v>80</v>
      </c>
      <c r="H4" s="66" t="s">
        <v>81</v>
      </c>
      <c r="I4" s="79" t="s">
        <v>82</v>
      </c>
    </row>
    <row r="5" spans="1:9">
      <c r="A5" s="80">
        <v>1</v>
      </c>
      <c r="B5" s="63">
        <v>2</v>
      </c>
      <c r="C5" s="63">
        <v>3</v>
      </c>
      <c r="D5" s="63">
        <v>4</v>
      </c>
      <c r="E5" s="63">
        <v>5</v>
      </c>
      <c r="F5" s="63">
        <v>6</v>
      </c>
      <c r="G5" s="63">
        <v>7</v>
      </c>
      <c r="H5" s="63">
        <v>8</v>
      </c>
      <c r="I5" s="81">
        <v>9</v>
      </c>
    </row>
    <row r="6" spans="1:9" ht="32.25" customHeight="1">
      <c r="A6" s="82">
        <v>1</v>
      </c>
      <c r="B6" s="67" t="s">
        <v>83</v>
      </c>
      <c r="C6" s="102" t="s">
        <v>103</v>
      </c>
      <c r="D6" s="108">
        <v>1459.49</v>
      </c>
      <c r="E6" s="91">
        <f>'01.07.2026'!F5</f>
        <v>2321</v>
      </c>
      <c r="F6" s="69">
        <f>'01.07.2026'!M5</f>
        <v>343.54</v>
      </c>
      <c r="G6" s="70">
        <f>ROUND((F6/D6),4)</f>
        <v>0.2354</v>
      </c>
      <c r="H6" s="93">
        <f>'01.07.2026'!T5</f>
        <v>0</v>
      </c>
      <c r="I6" s="94"/>
    </row>
    <row r="7" spans="1:9" ht="25.35" customHeight="1">
      <c r="A7" s="83">
        <v>2</v>
      </c>
      <c r="B7" s="71" t="s">
        <v>84</v>
      </c>
      <c r="C7" s="103">
        <v>169</v>
      </c>
      <c r="D7" s="109">
        <v>1017.8</v>
      </c>
      <c r="E7" s="72">
        <f>'01.07.2026'!F6</f>
        <v>138.52000000000001</v>
      </c>
      <c r="F7" s="72">
        <f>'01.07.2026'!M6</f>
        <v>281.12</v>
      </c>
      <c r="G7" s="73">
        <f t="shared" ref="G7:G23" si="0">ROUND((F7/D7),4)</f>
        <v>0.2762</v>
      </c>
      <c r="H7" s="90">
        <f>'01.07.2026'!T6</f>
        <v>0</v>
      </c>
      <c r="I7" s="92"/>
    </row>
    <row r="8" spans="1:9" ht="30.75" customHeight="1">
      <c r="A8" s="82">
        <v>3</v>
      </c>
      <c r="B8" s="67" t="s">
        <v>85</v>
      </c>
      <c r="C8" s="104">
        <v>981.46</v>
      </c>
      <c r="D8" s="93">
        <v>446.51</v>
      </c>
      <c r="E8" s="68">
        <f>'01.07.2026'!F7</f>
        <v>947.81</v>
      </c>
      <c r="F8" s="69">
        <f>'01.07.2026'!M7</f>
        <v>99.06</v>
      </c>
      <c r="G8" s="70">
        <f t="shared" si="0"/>
        <v>0.22189999999999999</v>
      </c>
      <c r="H8" s="93">
        <f>'01.07.2026'!T7</f>
        <v>0</v>
      </c>
      <c r="I8" s="95"/>
    </row>
    <row r="9" spans="1:9" ht="26.1" customHeight="1">
      <c r="A9" s="83">
        <v>4</v>
      </c>
      <c r="B9" s="71" t="s">
        <v>86</v>
      </c>
      <c r="C9" s="103">
        <v>775.6</v>
      </c>
      <c r="D9" s="109">
        <v>201</v>
      </c>
      <c r="E9" s="72">
        <f>'01.07.2026'!F8</f>
        <v>756.15</v>
      </c>
      <c r="F9" s="72">
        <f>'01.07.2026'!M8</f>
        <v>21.55</v>
      </c>
      <c r="G9" s="73">
        <f t="shared" si="0"/>
        <v>0.1072</v>
      </c>
      <c r="H9" s="90">
        <f>'01.07.2026'!T8</f>
        <v>0</v>
      </c>
      <c r="I9" s="92"/>
    </row>
    <row r="10" spans="1:9" ht="27.6" customHeight="1">
      <c r="A10" s="82">
        <v>5</v>
      </c>
      <c r="B10" s="67" t="s">
        <v>87</v>
      </c>
      <c r="C10" s="102" t="s">
        <v>104</v>
      </c>
      <c r="D10" s="93">
        <v>149.09</v>
      </c>
      <c r="E10" s="91">
        <f>'01.07.2026'!F9</f>
        <v>2589.5</v>
      </c>
      <c r="F10" s="69">
        <f>'01.07.2026'!M9</f>
        <v>19.09</v>
      </c>
      <c r="G10" s="70">
        <f t="shared" si="0"/>
        <v>0.128</v>
      </c>
      <c r="H10" s="93">
        <f>'01.07.2026'!T9</f>
        <v>0</v>
      </c>
      <c r="I10" s="96"/>
    </row>
    <row r="11" spans="1:9" ht="23.1" customHeight="1">
      <c r="A11" s="83">
        <v>6</v>
      </c>
      <c r="B11" s="74" t="s">
        <v>88</v>
      </c>
      <c r="C11" s="103">
        <v>1599.59</v>
      </c>
      <c r="D11" s="90">
        <v>54.77</v>
      </c>
      <c r="E11" s="72">
        <f>'01.07.2026'!F10</f>
        <v>1568.1</v>
      </c>
      <c r="F11" s="72">
        <f>'01.07.2026'!M10</f>
        <v>2.39</v>
      </c>
      <c r="G11" s="73">
        <f t="shared" si="0"/>
        <v>4.36E-2</v>
      </c>
      <c r="H11" s="90">
        <f>'01.07.2026'!T10</f>
        <v>0</v>
      </c>
      <c r="I11" s="92"/>
    </row>
    <row r="12" spans="1:9" ht="30.75" customHeight="1">
      <c r="A12" s="82">
        <v>7</v>
      </c>
      <c r="B12" s="67" t="s">
        <v>89</v>
      </c>
      <c r="C12" s="104">
        <v>1207.02</v>
      </c>
      <c r="D12" s="93">
        <v>49.83</v>
      </c>
      <c r="E12" s="68">
        <f>'01.07.2026'!F11</f>
        <v>1194.95</v>
      </c>
      <c r="F12" s="69">
        <f>'01.07.2026'!M11</f>
        <v>9.9481999999999999</v>
      </c>
      <c r="G12" s="70">
        <f>ROUND((F12/D12),4)</f>
        <v>0.1996</v>
      </c>
      <c r="H12" s="93">
        <f>'01.07.2026'!T11</f>
        <v>0</v>
      </c>
      <c r="I12" s="94"/>
    </row>
    <row r="13" spans="1:9" ht="25.35" customHeight="1">
      <c r="A13" s="83">
        <v>8</v>
      </c>
      <c r="B13" s="75" t="s">
        <v>90</v>
      </c>
      <c r="C13" s="103">
        <v>707.93</v>
      </c>
      <c r="D13" s="90">
        <v>47.4</v>
      </c>
      <c r="E13" s="72">
        <f>'01.07.2026'!F12</f>
        <v>691.15</v>
      </c>
      <c r="F13" s="72">
        <f>'01.07.2026'!M12</f>
        <v>15.788500000000001</v>
      </c>
      <c r="G13" s="73">
        <f t="shared" si="0"/>
        <v>0.33310000000000001</v>
      </c>
      <c r="H13" s="90">
        <f>'01.07.2026'!T12</f>
        <v>0</v>
      </c>
      <c r="I13" s="92"/>
    </row>
    <row r="14" spans="1:9" ht="25.35" customHeight="1">
      <c r="A14" s="82">
        <v>9</v>
      </c>
      <c r="B14" s="67" t="s">
        <v>91</v>
      </c>
      <c r="C14" s="102">
        <v>758.04</v>
      </c>
      <c r="D14" s="110">
        <v>33.979999999999997</v>
      </c>
      <c r="E14" s="68">
        <f>'01.07.2026'!F13</f>
        <v>747.61</v>
      </c>
      <c r="F14" s="69">
        <f>'01.07.2026'!M13</f>
        <v>11.462</v>
      </c>
      <c r="G14" s="70">
        <f t="shared" si="0"/>
        <v>0.33729999999999999</v>
      </c>
      <c r="H14" s="93">
        <f>'01.07.2026'!T13</f>
        <v>0</v>
      </c>
      <c r="I14" s="95"/>
    </row>
    <row r="15" spans="1:9" ht="20.100000000000001" customHeight="1">
      <c r="A15" s="83">
        <v>10</v>
      </c>
      <c r="B15" s="75" t="s">
        <v>92</v>
      </c>
      <c r="C15" s="105">
        <v>986.33</v>
      </c>
      <c r="D15" s="109">
        <v>31.15</v>
      </c>
      <c r="E15" s="72">
        <f>'01.07.2026'!F14</f>
        <v>964.45</v>
      </c>
      <c r="F15" s="72">
        <f>'01.07.2026'!M14</f>
        <v>0.97</v>
      </c>
      <c r="G15" s="73">
        <f t="shared" si="0"/>
        <v>3.1099999999999999E-2</v>
      </c>
      <c r="H15" s="90">
        <f>'01.07.2026'!T14</f>
        <v>0</v>
      </c>
      <c r="I15" s="92"/>
    </row>
    <row r="16" spans="1:9" ht="28.5" customHeight="1">
      <c r="A16" s="82">
        <v>11</v>
      </c>
      <c r="B16" s="67" t="s">
        <v>93</v>
      </c>
      <c r="C16" s="102">
        <v>423.98</v>
      </c>
      <c r="D16" s="108">
        <v>30.3</v>
      </c>
      <c r="E16" s="68">
        <f>'01.07.2026'!F15</f>
        <v>416</v>
      </c>
      <c r="F16" s="69">
        <f>'01.07.2026'!M15</f>
        <v>11.1</v>
      </c>
      <c r="G16" s="70">
        <f t="shared" si="0"/>
        <v>0.36630000000000001</v>
      </c>
      <c r="H16" s="93">
        <f>'01.07.2026'!T15</f>
        <v>0</v>
      </c>
      <c r="I16" s="119"/>
    </row>
    <row r="17" spans="1:9" ht="20.100000000000001" customHeight="1">
      <c r="A17" s="83">
        <v>12</v>
      </c>
      <c r="B17" s="75" t="s">
        <v>94</v>
      </c>
      <c r="C17" s="105">
        <v>1758.6959999999999</v>
      </c>
      <c r="D17" s="109">
        <v>7.65</v>
      </c>
      <c r="E17" s="72">
        <f>'01.07.2026'!F16</f>
        <v>1746.35</v>
      </c>
      <c r="F17" s="72">
        <f>'01.07.2026'!M16</f>
        <v>1.3580000000000001</v>
      </c>
      <c r="G17" s="73">
        <f t="shared" si="0"/>
        <v>0.17749999999999999</v>
      </c>
      <c r="H17" s="90">
        <f>'01.07.2026'!T16</f>
        <v>0</v>
      </c>
      <c r="I17" s="92"/>
    </row>
    <row r="18" spans="1:9" ht="25.35" customHeight="1">
      <c r="A18" s="82">
        <v>13</v>
      </c>
      <c r="B18" s="76" t="s">
        <v>95</v>
      </c>
      <c r="C18" s="104">
        <v>456.59</v>
      </c>
      <c r="D18" s="111">
        <v>6.43</v>
      </c>
      <c r="E18" s="68">
        <f>'01.07.2026'!F17</f>
        <v>452.3</v>
      </c>
      <c r="F18" s="69">
        <f>'01.07.2026'!M17</f>
        <v>3.8620000000000001</v>
      </c>
      <c r="G18" s="70">
        <f>ROUND((F18/D18),4)</f>
        <v>0.60060000000000002</v>
      </c>
      <c r="H18" s="93">
        <f>'01.07.2026'!T17</f>
        <v>0</v>
      </c>
      <c r="I18" s="97"/>
    </row>
    <row r="19" spans="1:9" ht="23.25" customHeight="1">
      <c r="A19" s="83">
        <v>14</v>
      </c>
      <c r="B19" s="75" t="s">
        <v>96</v>
      </c>
      <c r="C19" s="106">
        <v>754.38</v>
      </c>
      <c r="D19" s="90">
        <v>5.2920000000000007</v>
      </c>
      <c r="E19" s="72">
        <f>'01.07.2026'!F18</f>
        <v>746.4</v>
      </c>
      <c r="F19" s="72">
        <f>'01.07.2026'!M18</f>
        <v>0.54669999999999996</v>
      </c>
      <c r="G19" s="73">
        <f t="shared" si="0"/>
        <v>0.1033</v>
      </c>
      <c r="H19" s="90">
        <f>'01.07.2026'!T18</f>
        <v>0</v>
      </c>
      <c r="I19" s="92"/>
    </row>
    <row r="20" spans="1:9" ht="26.25" customHeight="1">
      <c r="A20" s="82">
        <v>15</v>
      </c>
      <c r="B20" s="77" t="s">
        <v>97</v>
      </c>
      <c r="C20" s="104">
        <v>253</v>
      </c>
      <c r="D20" s="111">
        <v>4.55</v>
      </c>
      <c r="E20" s="68">
        <f>'01.07.2026'!F19</f>
        <v>248.4</v>
      </c>
      <c r="F20" s="69">
        <f>'01.07.2026'!M19</f>
        <v>2.6659999999999999</v>
      </c>
      <c r="G20" s="70">
        <f t="shared" si="0"/>
        <v>0.58589999999999998</v>
      </c>
      <c r="H20" s="93">
        <f>'01.07.2026'!T19</f>
        <v>0</v>
      </c>
      <c r="I20" s="97"/>
    </row>
    <row r="21" spans="1:9" ht="25.35" customHeight="1">
      <c r="A21" s="83">
        <v>16</v>
      </c>
      <c r="B21" s="75" t="s">
        <v>98</v>
      </c>
      <c r="C21" s="106">
        <v>192.63</v>
      </c>
      <c r="D21" s="90">
        <v>1.1599999999999999</v>
      </c>
      <c r="E21" s="72">
        <f>'01.07.2026'!F20</f>
        <v>185.1</v>
      </c>
      <c r="F21" s="72">
        <f>'01.07.2026'!M20</f>
        <v>0.28299999999999997</v>
      </c>
      <c r="G21" s="73">
        <f t="shared" si="0"/>
        <v>0.24399999999999999</v>
      </c>
      <c r="H21" s="90">
        <f>'01.07.2026'!T20</f>
        <v>0</v>
      </c>
      <c r="I21" s="92"/>
    </row>
    <row r="22" spans="1:9" ht="25.35" customHeight="1">
      <c r="A22" s="82">
        <v>17</v>
      </c>
      <c r="B22" s="76" t="s">
        <v>99</v>
      </c>
      <c r="C22" s="102">
        <v>824.48</v>
      </c>
      <c r="D22" s="108">
        <v>0.76300000000000001</v>
      </c>
      <c r="E22" s="68">
        <f>'01.07.2026'!F21</f>
        <v>820.2</v>
      </c>
      <c r="F22" s="69">
        <f>'01.07.2026'!M21</f>
        <v>0.1913</v>
      </c>
      <c r="G22" s="70">
        <f t="shared" si="0"/>
        <v>0.25069999999999998</v>
      </c>
      <c r="H22" s="93">
        <f>'01.07.2026'!T21</f>
        <v>0</v>
      </c>
      <c r="I22" s="98"/>
    </row>
    <row r="23" spans="1:9" ht="25.35" customHeight="1" thickBot="1">
      <c r="A23" s="84">
        <v>18</v>
      </c>
      <c r="B23" s="85" t="s">
        <v>100</v>
      </c>
      <c r="C23" s="107">
        <v>847.64</v>
      </c>
      <c r="D23" s="112">
        <v>0.38999999999999996</v>
      </c>
      <c r="E23" s="86">
        <f>'01.07.2026'!F22</f>
        <v>846.7</v>
      </c>
      <c r="F23" s="86">
        <f>'01.07.2026'!M22</f>
        <v>0.16500000000000001</v>
      </c>
      <c r="G23" s="87">
        <f t="shared" si="0"/>
        <v>0.42309999999999998</v>
      </c>
      <c r="H23" s="99">
        <f>'01.07.2026'!T22</f>
        <v>0</v>
      </c>
      <c r="I23" s="100"/>
    </row>
  </sheetData>
  <mergeCells count="3">
    <mergeCell ref="A1:I1"/>
    <mergeCell ref="A2:I2"/>
    <mergeCell ref="A3:I3"/>
  </mergeCells>
  <pageMargins left="0.45" right="0.2" top="0.25" bottom="0.25" header="0.05" footer="0.05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127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2321.2399999999998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346.10199999999998</v>
      </c>
      <c r="N5" s="126">
        <f t="shared" ref="N5:N23" si="0">ROUND((M5/L5)*100,2)</f>
        <v>23.71</v>
      </c>
      <c r="O5" s="58" t="e">
        <f>(#REF!/L5)</f>
        <v>#REF!</v>
      </c>
      <c r="P5" s="59">
        <v>4.1449999999999996</v>
      </c>
      <c r="Q5" s="58">
        <f>ROUND((P5*1000000/(24*3600)),2)</f>
        <v>47.97</v>
      </c>
      <c r="R5" s="59">
        <v>1.4282999999999999</v>
      </c>
      <c r="S5" s="149">
        <v>0</v>
      </c>
      <c r="T5" s="149">
        <v>0</v>
      </c>
      <c r="U5" s="59">
        <f t="shared" ref="U5:U22" si="1">R5+S5</f>
        <v>1.4282999999999999</v>
      </c>
      <c r="V5" s="59">
        <v>6.4</v>
      </c>
      <c r="W5" s="152"/>
      <c r="X5" s="131">
        <v>2.069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138.77000000000001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285.745</v>
      </c>
      <c r="N6" s="127">
        <f t="shared" si="0"/>
        <v>28.07</v>
      </c>
      <c r="O6" s="57" t="e">
        <f>(#REF!/L6)</f>
        <v>#REF!</v>
      </c>
      <c r="P6" s="60">
        <v>4.6455000000000002</v>
      </c>
      <c r="Q6" s="57">
        <f>ROUND((P6*1000000/(24*3600)),2)</f>
        <v>53.77</v>
      </c>
      <c r="R6" s="60">
        <v>6.7000000000000002E-3</v>
      </c>
      <c r="S6" s="147">
        <v>0</v>
      </c>
      <c r="T6" s="147">
        <v>0</v>
      </c>
      <c r="U6" s="60">
        <f t="shared" si="1"/>
        <v>6.7000000000000002E-3</v>
      </c>
      <c r="V6" s="60">
        <v>15.8</v>
      </c>
      <c r="W6" s="148"/>
      <c r="X6" s="131">
        <v>1.6000000000000001E-3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947.99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100</v>
      </c>
      <c r="N7" s="126">
        <f t="shared" si="0"/>
        <v>22.4</v>
      </c>
      <c r="O7" s="58" t="e">
        <f>(#REF!/L7)</f>
        <v>#REF!</v>
      </c>
      <c r="P7" s="59">
        <v>1.3002</v>
      </c>
      <c r="Q7" s="58">
        <f t="shared" ref="Q7:Q22" si="2">ROUND((P7*1000000/(24*3600)),2)</f>
        <v>15.05</v>
      </c>
      <c r="R7" s="59">
        <v>0.36020000000000002</v>
      </c>
      <c r="S7" s="149">
        <v>0</v>
      </c>
      <c r="T7" s="149">
        <v>0</v>
      </c>
      <c r="U7" s="59">
        <f t="shared" si="1"/>
        <v>0.36020000000000002</v>
      </c>
      <c r="V7" s="59">
        <v>4</v>
      </c>
      <c r="W7" s="151"/>
      <c r="X7" s="131">
        <v>0.58099999999999996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756.4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23.15</v>
      </c>
      <c r="N8" s="127">
        <f t="shared" si="0"/>
        <v>11.52</v>
      </c>
      <c r="O8" s="57" t="e">
        <f>(#REF!/L8)</f>
        <v>#REF!</v>
      </c>
      <c r="P8" s="60">
        <v>1.6</v>
      </c>
      <c r="Q8" s="57">
        <f>ROUND((P8*1000000/(24*3600)),2)</f>
        <v>18.52</v>
      </c>
      <c r="R8" s="60"/>
      <c r="S8" s="147">
        <v>0</v>
      </c>
      <c r="T8" s="147">
        <v>0</v>
      </c>
      <c r="U8" s="60">
        <f t="shared" si="1"/>
        <v>0</v>
      </c>
      <c r="V8" s="60">
        <v>17</v>
      </c>
      <c r="W8" s="150" t="s">
        <v>126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2590.6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20.079999999999998</v>
      </c>
      <c r="N9" s="126">
        <f t="shared" si="0"/>
        <v>13.47</v>
      </c>
      <c r="O9" s="58" t="e">
        <f>(#REF!/L9)</f>
        <v>#REF!</v>
      </c>
      <c r="P9" s="59">
        <v>0.99680000000000002</v>
      </c>
      <c r="Q9" s="58">
        <f t="shared" si="2"/>
        <v>11.54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23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1267.8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2.09</v>
      </c>
      <c r="N10" s="127">
        <f t="shared" si="0"/>
        <v>3.82</v>
      </c>
      <c r="O10" s="57" t="e">
        <f>(#REF!/L10)</f>
        <v>#REF!</v>
      </c>
      <c r="P10" s="60">
        <v>0.189</v>
      </c>
      <c r="Q10" s="57">
        <f t="shared" si="2"/>
        <v>2.19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8.6</v>
      </c>
      <c r="W10" s="150" t="s">
        <v>123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1194.99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10.0176</v>
      </c>
      <c r="N11" s="126">
        <f t="shared" si="0"/>
        <v>20.100000000000001</v>
      </c>
      <c r="O11" s="58" t="e">
        <f>(#REF!/L11)</f>
        <v>#REF!</v>
      </c>
      <c r="P11" s="59">
        <v>6.9400000000000003E-2</v>
      </c>
      <c r="Q11" s="59">
        <f t="shared" si="2"/>
        <v>0.8</v>
      </c>
      <c r="R11" s="59"/>
      <c r="S11" s="155">
        <v>0</v>
      </c>
      <c r="T11" s="149">
        <v>0</v>
      </c>
      <c r="U11" s="58">
        <f t="shared" si="1"/>
        <v>0</v>
      </c>
      <c r="V11" s="59">
        <v>5</v>
      </c>
      <c r="W11" s="150" t="s">
        <v>122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691.35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16.104299999999999</v>
      </c>
      <c r="N12" s="127">
        <f t="shared" si="0"/>
        <v>33.979999999999997</v>
      </c>
      <c r="O12" s="57" t="e">
        <f>(#REF!/L12)</f>
        <v>#REF!</v>
      </c>
      <c r="P12" s="60">
        <v>0.31580000000000003</v>
      </c>
      <c r="Q12" s="57">
        <f t="shared" si="2"/>
        <v>3.66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12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748.34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12.7148</v>
      </c>
      <c r="N13" s="126">
        <f t="shared" si="0"/>
        <v>37.42</v>
      </c>
      <c r="O13" s="58" t="e">
        <f>(#REF!/L13)</f>
        <v>#REF!</v>
      </c>
      <c r="P13" s="59">
        <v>1.2527999999999999</v>
      </c>
      <c r="Q13" s="58">
        <f t="shared" si="2"/>
        <v>14.5</v>
      </c>
      <c r="R13" s="59">
        <v>0</v>
      </c>
      <c r="S13" s="149">
        <v>0</v>
      </c>
      <c r="T13" s="149">
        <v>0</v>
      </c>
      <c r="U13" s="59">
        <f t="shared" si="1"/>
        <v>0</v>
      </c>
      <c r="V13" s="59">
        <v>43</v>
      </c>
      <c r="W13" s="152"/>
      <c r="X13" s="131">
        <v>0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964.45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0.97</v>
      </c>
      <c r="N14" s="127">
        <f t="shared" si="0"/>
        <v>3.11</v>
      </c>
      <c r="O14" s="57" t="e">
        <f>(#REF!/L14)</f>
        <v>#REF!</v>
      </c>
      <c r="P14" s="60">
        <v>1.339</v>
      </c>
      <c r="Q14" s="57">
        <f>ROUND((P14*1000000/(24*3600)),2)</f>
        <v>15.5</v>
      </c>
      <c r="R14" s="60"/>
      <c r="S14" s="147">
        <v>0</v>
      </c>
      <c r="T14" s="147">
        <v>0</v>
      </c>
      <c r="U14" s="60">
        <f t="shared" si="1"/>
        <v>0</v>
      </c>
      <c r="V14" s="60">
        <v>27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417.2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13.5</v>
      </c>
      <c r="N15" s="126">
        <f t="shared" si="0"/>
        <v>44.55</v>
      </c>
      <c r="O15" s="58" t="e">
        <f>(#REF!/L15)</f>
        <v>#REF!</v>
      </c>
      <c r="P15" s="59">
        <v>3.6053999999999999</v>
      </c>
      <c r="Q15" s="58">
        <f t="shared" si="2"/>
        <v>41.73</v>
      </c>
      <c r="R15" s="59">
        <v>1.2054</v>
      </c>
      <c r="S15" s="149">
        <v>0</v>
      </c>
      <c r="T15" s="149">
        <v>0</v>
      </c>
      <c r="U15" s="59">
        <f t="shared" si="1"/>
        <v>1.2054</v>
      </c>
      <c r="V15" s="59">
        <v>24.2</v>
      </c>
      <c r="W15" s="151"/>
      <c r="X15" s="131">
        <v>0.48293999999999998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1746.45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1.3859999999999999</v>
      </c>
      <c r="N16" s="127">
        <f t="shared" si="0"/>
        <v>18.12</v>
      </c>
      <c r="O16" s="57" t="e">
        <f>(#REF!/L16)</f>
        <v>#REF!</v>
      </c>
      <c r="P16" s="60">
        <v>2.8000000000000001E-2</v>
      </c>
      <c r="Q16" s="57">
        <f t="shared" si="2"/>
        <v>0.32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3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452.25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3.8359999999999999</v>
      </c>
      <c r="N17" s="126">
        <f t="shared" si="0"/>
        <v>59.66</v>
      </c>
      <c r="O17" s="58" t="e">
        <f>(#REF!/L17)</f>
        <v>#REF!</v>
      </c>
      <c r="P17" s="59">
        <v>1.8194999999999999</v>
      </c>
      <c r="Q17" s="58">
        <f t="shared" si="2"/>
        <v>21.06</v>
      </c>
      <c r="R17" s="59">
        <v>1.845</v>
      </c>
      <c r="S17" s="149">
        <v>0</v>
      </c>
      <c r="T17" s="149">
        <v>0</v>
      </c>
      <c r="U17" s="59">
        <f t="shared" si="1"/>
        <v>1.845</v>
      </c>
      <c r="V17" s="59">
        <v>16</v>
      </c>
      <c r="W17" s="150"/>
      <c r="X17" s="131">
        <v>0.86439999999999995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746.4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0.54669999999999996</v>
      </c>
      <c r="N18" s="127">
        <f t="shared" si="0"/>
        <v>10.33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0" t="s">
        <v>32</v>
      </c>
      <c r="C19" s="58" t="s">
        <v>11</v>
      </c>
      <c r="D19" s="58">
        <v>253</v>
      </c>
      <c r="E19" s="58"/>
      <c r="F19" s="126">
        <v>248.3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2.6269999999999998</v>
      </c>
      <c r="N19" s="126">
        <f t="shared" si="0"/>
        <v>57.74</v>
      </c>
      <c r="O19" s="58" t="e">
        <f>(#REF!/L19)</f>
        <v>#REF!</v>
      </c>
      <c r="P19" s="59">
        <v>3.0148000000000001</v>
      </c>
      <c r="Q19" s="58">
        <f t="shared" si="2"/>
        <v>34.89</v>
      </c>
      <c r="R19" s="59">
        <v>3.0537999999999998</v>
      </c>
      <c r="S19" s="149">
        <v>0</v>
      </c>
      <c r="T19" s="149">
        <v>0</v>
      </c>
      <c r="U19" s="59">
        <f t="shared" si="1"/>
        <v>3.0537999999999998</v>
      </c>
      <c r="V19" s="59">
        <v>28</v>
      </c>
      <c r="W19" s="151"/>
      <c r="X19" s="131">
        <v>1.4059999999999999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185.7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0.33600000000000002</v>
      </c>
      <c r="N20" s="127">
        <f t="shared" si="0"/>
        <v>28.97</v>
      </c>
      <c r="O20" s="57" t="e">
        <f>(#REF!/L20)</f>
        <v>#REF!</v>
      </c>
      <c r="P20" s="60">
        <v>1.0249999999999999</v>
      </c>
      <c r="Q20" s="60">
        <f t="shared" si="2"/>
        <v>11.86</v>
      </c>
      <c r="R20" s="60">
        <v>0.82789999999999997</v>
      </c>
      <c r="S20" s="147">
        <v>0</v>
      </c>
      <c r="T20" s="153">
        <v>0</v>
      </c>
      <c r="U20" s="60">
        <f t="shared" si="1"/>
        <v>0.82789999999999997</v>
      </c>
      <c r="V20" s="60">
        <v>12</v>
      </c>
      <c r="W20" s="154"/>
      <c r="X20" s="131">
        <v>0.25474999999999998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0.14199999999999999</v>
      </c>
      <c r="N22" s="139">
        <f t="shared" si="0"/>
        <v>36.409999999999997</v>
      </c>
      <c r="O22" s="115" t="e">
        <f>(#REF!/L22)</f>
        <v>#REF!</v>
      </c>
      <c r="P22" s="116">
        <v>0.94930000000000003</v>
      </c>
      <c r="Q22" s="115">
        <f t="shared" si="2"/>
        <v>10.99</v>
      </c>
      <c r="R22" s="116">
        <v>0.97294700000000001</v>
      </c>
      <c r="S22" s="153">
        <v>0</v>
      </c>
      <c r="T22" s="153">
        <v>0</v>
      </c>
      <c r="U22" s="116">
        <f t="shared" si="1"/>
        <v>0.97294700000000001</v>
      </c>
      <c r="V22" s="116">
        <v>5.5</v>
      </c>
      <c r="W22" s="156"/>
      <c r="X22" s="131">
        <v>0.7661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839.54</v>
      </c>
      <c r="N23" s="173">
        <f t="shared" si="0"/>
        <v>23.67</v>
      </c>
      <c r="O23" s="173" t="e">
        <f>(#REF!/L23)</f>
        <v>#REF!</v>
      </c>
      <c r="P23" s="89"/>
      <c r="Q23" s="173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I5" sqref="I5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128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2321.5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348.87700000000001</v>
      </c>
      <c r="N5" s="126">
        <f t="shared" ref="N5:N23" si="0">ROUND((M5/L5)*100,2)</f>
        <v>23.9</v>
      </c>
      <c r="O5" s="58" t="e">
        <f>(#REF!/L5)</f>
        <v>#REF!</v>
      </c>
      <c r="P5" s="59">
        <v>5.0359999999999996</v>
      </c>
      <c r="Q5" s="58">
        <f>ROUND((P5*1000000/(24*3600)),2)</f>
        <v>58.29</v>
      </c>
      <c r="R5" s="59">
        <v>2.1059000000000001</v>
      </c>
      <c r="S5" s="149">
        <v>0</v>
      </c>
      <c r="T5" s="149">
        <v>0</v>
      </c>
      <c r="U5" s="59">
        <f t="shared" ref="U5:U22" si="1">R5+S5</f>
        <v>2.1059000000000001</v>
      </c>
      <c r="V5" s="59">
        <v>47.2</v>
      </c>
      <c r="W5" s="152"/>
      <c r="X5" s="131">
        <v>3.0510000000000002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139.03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290.57</v>
      </c>
      <c r="N6" s="127">
        <f t="shared" si="0"/>
        <v>28.55</v>
      </c>
      <c r="O6" s="57" t="e">
        <f>(#REF!/L6)</f>
        <v>#REF!</v>
      </c>
      <c r="P6" s="60">
        <v>4.8274999999999997</v>
      </c>
      <c r="Q6" s="57">
        <f>ROUND((P6*1000000/(24*3600)),2)</f>
        <v>55.87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30.08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948.21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101.16</v>
      </c>
      <c r="N7" s="126">
        <f t="shared" si="0"/>
        <v>22.66</v>
      </c>
      <c r="O7" s="58" t="e">
        <f>(#REF!/L7)</f>
        <v>#REF!</v>
      </c>
      <c r="P7" s="59">
        <v>1.8134999999999999</v>
      </c>
      <c r="Q7" s="58">
        <f t="shared" ref="Q7:Q22" si="2">ROUND((P7*1000000/(24*3600)),2)</f>
        <v>20.99</v>
      </c>
      <c r="R7" s="59">
        <v>0.65349999999999997</v>
      </c>
      <c r="S7" s="149">
        <v>0</v>
      </c>
      <c r="T7" s="149">
        <v>0</v>
      </c>
      <c r="U7" s="59">
        <f t="shared" si="1"/>
        <v>0.65349999999999997</v>
      </c>
      <c r="V7" s="59">
        <v>59</v>
      </c>
      <c r="W7" s="151"/>
      <c r="X7" s="131">
        <v>1.054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756.7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24.75</v>
      </c>
      <c r="N8" s="127">
        <f t="shared" si="0"/>
        <v>12.31</v>
      </c>
      <c r="O8" s="57" t="e">
        <f>(#REF!/L8)</f>
        <v>#REF!</v>
      </c>
      <c r="P8" s="60">
        <v>1.6</v>
      </c>
      <c r="Q8" s="57">
        <f>ROUND((P8*1000000/(24*3600)),2)</f>
        <v>18.52</v>
      </c>
      <c r="R8" s="60"/>
      <c r="S8" s="147">
        <v>0</v>
      </c>
      <c r="T8" s="147">
        <v>0</v>
      </c>
      <c r="U8" s="60">
        <f t="shared" si="1"/>
        <v>0</v>
      </c>
      <c r="V8" s="60">
        <v>24.8</v>
      </c>
      <c r="W8" s="150" t="s">
        <v>126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2592.1999999999998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21.57</v>
      </c>
      <c r="N9" s="126">
        <f t="shared" si="0"/>
        <v>14.47</v>
      </c>
      <c r="O9" s="58" t="e">
        <f>(#REF!/L9)</f>
        <v>#REF!</v>
      </c>
      <c r="P9" s="59">
        <v>1.4895</v>
      </c>
      <c r="Q9" s="58">
        <f t="shared" si="2"/>
        <v>17.239999999999998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31.3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1567.45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1.74</v>
      </c>
      <c r="N10" s="127">
        <f t="shared" si="0"/>
        <v>3.18</v>
      </c>
      <c r="O10" s="57" t="e">
        <f>(#REF!/L10)</f>
        <v>#REF!</v>
      </c>
      <c r="P10" s="60">
        <v>0.13900000000000001</v>
      </c>
      <c r="Q10" s="57">
        <f t="shared" si="2"/>
        <v>1.61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11</v>
      </c>
      <c r="W10" s="150" t="s">
        <v>123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1195.06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10.138999999999999</v>
      </c>
      <c r="N11" s="126">
        <f t="shared" si="0"/>
        <v>20.350000000000001</v>
      </c>
      <c r="O11" s="58" t="e">
        <f>(#REF!/L11)</f>
        <v>#REF!</v>
      </c>
      <c r="P11" s="59">
        <v>0.12139999999999999</v>
      </c>
      <c r="Q11" s="59">
        <f t="shared" si="2"/>
        <v>1.41</v>
      </c>
      <c r="R11" s="59"/>
      <c r="S11" s="155">
        <v>0</v>
      </c>
      <c r="T11" s="149">
        <v>0</v>
      </c>
      <c r="U11" s="58">
        <f t="shared" si="1"/>
        <v>0</v>
      </c>
      <c r="V11" s="59">
        <v>10</v>
      </c>
      <c r="W11" s="150" t="s">
        <v>122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691.7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16.6569</v>
      </c>
      <c r="N12" s="127">
        <f t="shared" si="0"/>
        <v>35.14</v>
      </c>
      <c r="O12" s="57" t="e">
        <f>(#REF!/L12)</f>
        <v>#REF!</v>
      </c>
      <c r="P12" s="60">
        <v>0.55259999999999998</v>
      </c>
      <c r="Q12" s="57">
        <f t="shared" si="2"/>
        <v>6.4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24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749.41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14.6122</v>
      </c>
      <c r="N13" s="126">
        <f t="shared" si="0"/>
        <v>43</v>
      </c>
      <c r="O13" s="58" t="e">
        <f>(#REF!/L13)</f>
        <v>#REF!</v>
      </c>
      <c r="P13" s="59">
        <v>1.9609000000000001</v>
      </c>
      <c r="Q13" s="58">
        <f t="shared" si="2"/>
        <v>22.7</v>
      </c>
      <c r="R13" s="59">
        <v>0</v>
      </c>
      <c r="S13" s="149">
        <v>0</v>
      </c>
      <c r="T13" s="149">
        <v>0</v>
      </c>
      <c r="U13" s="59">
        <f t="shared" si="1"/>
        <v>0</v>
      </c>
      <c r="V13" s="59">
        <v>82</v>
      </c>
      <c r="W13" s="152"/>
      <c r="X13" s="131">
        <v>8.8999999999999996E-2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964.55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1.05</v>
      </c>
      <c r="N14" s="127">
        <f t="shared" si="0"/>
        <v>3.37</v>
      </c>
      <c r="O14" s="57" t="e">
        <f>(#REF!/L14)</f>
        <v>#REF!</v>
      </c>
      <c r="P14" s="60">
        <v>1.339</v>
      </c>
      <c r="Q14" s="57">
        <f>ROUND((P14*1000000/(24*3600)),2)</f>
        <v>15.5</v>
      </c>
      <c r="R14" s="60"/>
      <c r="S14" s="147">
        <v>0</v>
      </c>
      <c r="T14" s="147">
        <v>0</v>
      </c>
      <c r="U14" s="60">
        <f t="shared" si="1"/>
        <v>0</v>
      </c>
      <c r="V14" s="60">
        <v>43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417.4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13.9</v>
      </c>
      <c r="N15" s="126">
        <f t="shared" si="0"/>
        <v>45.87</v>
      </c>
      <c r="O15" s="58" t="e">
        <f>(#REF!/L15)</f>
        <v>#REF!</v>
      </c>
      <c r="P15" s="59">
        <v>1.4353</v>
      </c>
      <c r="Q15" s="58">
        <f t="shared" si="2"/>
        <v>16.61</v>
      </c>
      <c r="R15" s="59">
        <v>1.0353000000000001</v>
      </c>
      <c r="S15" s="149">
        <v>0</v>
      </c>
      <c r="T15" s="149">
        <v>0</v>
      </c>
      <c r="U15" s="59">
        <f t="shared" si="1"/>
        <v>1.0353000000000001</v>
      </c>
      <c r="V15" s="59">
        <v>41</v>
      </c>
      <c r="W15" s="151"/>
      <c r="X15" s="131">
        <v>0.40647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1746.6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1.4279999999999999</v>
      </c>
      <c r="N16" s="127">
        <f t="shared" si="0"/>
        <v>18.670000000000002</v>
      </c>
      <c r="O16" s="57" t="e">
        <f>(#REF!/L16)</f>
        <v>#REF!</v>
      </c>
      <c r="P16" s="60">
        <v>4.2000000000000003E-2</v>
      </c>
      <c r="Q16" s="57">
        <f t="shared" si="2"/>
        <v>0.49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1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452.35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3.887</v>
      </c>
      <c r="N17" s="126">
        <f t="shared" si="0"/>
        <v>60.45</v>
      </c>
      <c r="O17" s="58" t="e">
        <f>(#REF!/L17)</f>
        <v>#REF!</v>
      </c>
      <c r="P17" s="59">
        <v>2.0145</v>
      </c>
      <c r="Q17" s="58">
        <f t="shared" si="2"/>
        <v>23.32</v>
      </c>
      <c r="R17" s="59">
        <v>1.9635</v>
      </c>
      <c r="S17" s="149">
        <v>0</v>
      </c>
      <c r="T17" s="149">
        <v>0</v>
      </c>
      <c r="U17" s="59">
        <f t="shared" si="1"/>
        <v>1.9635</v>
      </c>
      <c r="V17" s="59">
        <v>2</v>
      </c>
      <c r="W17" s="150"/>
      <c r="X17" s="131">
        <v>0.92230000000000001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746.6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0.58740000000000003</v>
      </c>
      <c r="N18" s="127">
        <f t="shared" si="0"/>
        <v>11.1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0" t="s">
        <v>32</v>
      </c>
      <c r="C19" s="58" t="s">
        <v>11</v>
      </c>
      <c r="D19" s="58">
        <v>253</v>
      </c>
      <c r="E19" s="58"/>
      <c r="F19" s="126">
        <v>247.9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2.4790000000000001</v>
      </c>
      <c r="N19" s="126">
        <f t="shared" si="0"/>
        <v>54.48</v>
      </c>
      <c r="O19" s="58" t="e">
        <f>(#REF!/L19)</f>
        <v>#REF!</v>
      </c>
      <c r="P19" s="59">
        <v>2.8885000000000001</v>
      </c>
      <c r="Q19" s="58">
        <f t="shared" si="2"/>
        <v>33.43</v>
      </c>
      <c r="R19" s="59">
        <v>3.0365000000000002</v>
      </c>
      <c r="S19" s="149">
        <v>0</v>
      </c>
      <c r="T19" s="149">
        <v>0</v>
      </c>
      <c r="U19" s="59">
        <f t="shared" si="1"/>
        <v>3.0365000000000002</v>
      </c>
      <c r="V19" s="59">
        <v>28</v>
      </c>
      <c r="W19" s="151"/>
      <c r="X19" s="131">
        <v>1.3979999999999999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185.45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0.318</v>
      </c>
      <c r="N20" s="127">
        <f t="shared" si="0"/>
        <v>27.41</v>
      </c>
      <c r="O20" s="57" t="e">
        <f>(#REF!/L20)</f>
        <v>#REF!</v>
      </c>
      <c r="P20" s="60">
        <v>0.88829999999999998</v>
      </c>
      <c r="Q20" s="60">
        <f t="shared" si="2"/>
        <v>10.28</v>
      </c>
      <c r="R20" s="60">
        <v>0.84838000000000002</v>
      </c>
      <c r="S20" s="147">
        <v>0</v>
      </c>
      <c r="T20" s="153">
        <v>0</v>
      </c>
      <c r="U20" s="60">
        <f t="shared" si="1"/>
        <v>0.84838000000000002</v>
      </c>
      <c r="V20" s="60">
        <v>26</v>
      </c>
      <c r="W20" s="154"/>
      <c r="X20" s="131">
        <v>0.26103999999999999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0.11799999999999999</v>
      </c>
      <c r="N22" s="139">
        <f t="shared" si="0"/>
        <v>30.26</v>
      </c>
      <c r="O22" s="115" t="e">
        <f>(#REF!/L22)</f>
        <v>#REF!</v>
      </c>
      <c r="P22" s="116">
        <v>0.89</v>
      </c>
      <c r="Q22" s="115">
        <f t="shared" si="2"/>
        <v>10.3</v>
      </c>
      <c r="R22" s="116">
        <v>0.91363799999999995</v>
      </c>
      <c r="S22" s="153">
        <v>0</v>
      </c>
      <c r="T22" s="153">
        <v>0</v>
      </c>
      <c r="U22" s="116">
        <f t="shared" si="1"/>
        <v>0.91363799999999995</v>
      </c>
      <c r="V22" s="116">
        <v>2.8</v>
      </c>
      <c r="W22" s="156"/>
      <c r="X22" s="131">
        <v>0.71940000000000004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854.03</v>
      </c>
      <c r="N23" s="174">
        <f t="shared" si="0"/>
        <v>24.07</v>
      </c>
      <c r="O23" s="174" t="e">
        <f>(#REF!/L23)</f>
        <v>#REF!</v>
      </c>
      <c r="P23" s="89"/>
      <c r="Q23" s="174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I8" sqref="I8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129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2322.66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361.28</v>
      </c>
      <c r="N5" s="126">
        <f t="shared" ref="N5:N23" si="0">ROUND((M5/L5)*100,2)</f>
        <v>24.75</v>
      </c>
      <c r="O5" s="58" t="e">
        <f>(#REF!/L5)</f>
        <v>#REF!</v>
      </c>
      <c r="P5" s="59">
        <v>14.335000000000001</v>
      </c>
      <c r="Q5" s="58">
        <f>ROUND((P5*1000000/(24*3600)),2)</f>
        <v>165.91</v>
      </c>
      <c r="R5" s="59">
        <v>1.7778</v>
      </c>
      <c r="S5" s="149">
        <v>0</v>
      </c>
      <c r="T5" s="149">
        <v>0</v>
      </c>
      <c r="U5" s="59">
        <f t="shared" ref="U5:U22" si="1">R5+S5</f>
        <v>1.7778</v>
      </c>
      <c r="V5" s="59">
        <v>79.400000000000006</v>
      </c>
      <c r="W5" s="152"/>
      <c r="X5" s="131">
        <v>2.577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139.63999999999999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302.16000000000003</v>
      </c>
      <c r="N6" s="127">
        <f t="shared" si="0"/>
        <v>29.69</v>
      </c>
      <c r="O6" s="57" t="e">
        <f>(#REF!/L6)</f>
        <v>#REF!</v>
      </c>
      <c r="P6" s="60">
        <v>11.6129</v>
      </c>
      <c r="Q6" s="57">
        <f>ROUND((P6*1000000/(24*3600)),2)</f>
        <v>134.41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46.4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948.95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105.13</v>
      </c>
      <c r="N7" s="126">
        <f t="shared" si="0"/>
        <v>23.54</v>
      </c>
      <c r="O7" s="58" t="e">
        <f>(#REF!/L7)</f>
        <v>#REF!</v>
      </c>
      <c r="P7" s="59">
        <v>4.4535999999999998</v>
      </c>
      <c r="Q7" s="58">
        <f t="shared" ref="Q7:Q22" si="2">ROUND((P7*1000000/(24*3600)),2)</f>
        <v>51.55</v>
      </c>
      <c r="R7" s="59">
        <v>0.48359999999999997</v>
      </c>
      <c r="S7" s="149">
        <v>0</v>
      </c>
      <c r="T7" s="149">
        <v>0</v>
      </c>
      <c r="U7" s="59">
        <f t="shared" si="1"/>
        <v>0.48359999999999997</v>
      </c>
      <c r="V7" s="59">
        <v>117</v>
      </c>
      <c r="W7" s="151"/>
      <c r="X7" s="131">
        <v>0.78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757.3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28.15</v>
      </c>
      <c r="N8" s="127">
        <f t="shared" si="0"/>
        <v>14</v>
      </c>
      <c r="O8" s="57" t="e">
        <f>(#REF!/L8)</f>
        <v>#REF!</v>
      </c>
      <c r="P8" s="60">
        <v>3.4</v>
      </c>
      <c r="Q8" s="57">
        <f>ROUND((P8*1000000/(24*3600)),2)</f>
        <v>39.35</v>
      </c>
      <c r="R8" s="60"/>
      <c r="S8" s="147">
        <v>0</v>
      </c>
      <c r="T8" s="147">
        <v>0</v>
      </c>
      <c r="U8" s="60">
        <f t="shared" si="1"/>
        <v>0</v>
      </c>
      <c r="V8" s="60">
        <v>39.200000000000003</v>
      </c>
      <c r="W8" s="150" t="s">
        <v>126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2594.1999999999998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23.54</v>
      </c>
      <c r="N9" s="126">
        <f t="shared" si="0"/>
        <v>15.79</v>
      </c>
      <c r="O9" s="58" t="e">
        <f>(#REF!/L9)</f>
        <v>#REF!</v>
      </c>
      <c r="P9" s="59">
        <v>1.9652000000000001</v>
      </c>
      <c r="Q9" s="58">
        <f t="shared" si="2"/>
        <v>22.75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46.3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1567.75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2.04</v>
      </c>
      <c r="N10" s="127">
        <f t="shared" si="0"/>
        <v>3.72</v>
      </c>
      <c r="O10" s="57" t="e">
        <f>(#REF!/L10)</f>
        <v>#REF!</v>
      </c>
      <c r="P10" s="60">
        <v>0.32040000000000002</v>
      </c>
      <c r="Q10" s="57">
        <f t="shared" si="2"/>
        <v>3.71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24.8</v>
      </c>
      <c r="W10" s="150" t="s">
        <v>130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1195.1400000000001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10.277699999999999</v>
      </c>
      <c r="N11" s="126">
        <f t="shared" si="0"/>
        <v>20.63</v>
      </c>
      <c r="O11" s="58" t="e">
        <f>(#REF!/L11)</f>
        <v>#REF!</v>
      </c>
      <c r="P11" s="59">
        <v>0.13869999999999999</v>
      </c>
      <c r="Q11" s="59">
        <f t="shared" si="2"/>
        <v>1.61</v>
      </c>
      <c r="R11" s="59"/>
      <c r="S11" s="155">
        <v>0</v>
      </c>
      <c r="T11" s="149">
        <v>0</v>
      </c>
      <c r="U11" s="58">
        <f t="shared" si="1"/>
        <v>0</v>
      </c>
      <c r="V11" s="59">
        <v>22</v>
      </c>
      <c r="W11" s="150" t="s">
        <v>122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692.15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17.3674</v>
      </c>
      <c r="N12" s="127">
        <f t="shared" si="0"/>
        <v>36.64</v>
      </c>
      <c r="O12" s="57" t="e">
        <f>(#REF!/L12)</f>
        <v>#REF!</v>
      </c>
      <c r="P12" s="60">
        <v>0.71050000000000002</v>
      </c>
      <c r="Q12" s="57">
        <f t="shared" si="2"/>
        <v>8.2200000000000006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36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750.72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17.233000000000001</v>
      </c>
      <c r="N13" s="126">
        <f t="shared" si="0"/>
        <v>50.72</v>
      </c>
      <c r="O13" s="58" t="e">
        <f>(#REF!/L13)</f>
        <v>#REF!</v>
      </c>
      <c r="P13" s="59">
        <v>2.9415</v>
      </c>
      <c r="Q13" s="58">
        <f t="shared" si="2"/>
        <v>34.049999999999997</v>
      </c>
      <c r="R13" s="59">
        <v>0.32069999999999999</v>
      </c>
      <c r="S13" s="149">
        <v>0</v>
      </c>
      <c r="T13" s="149">
        <v>0</v>
      </c>
      <c r="U13" s="59">
        <f t="shared" si="1"/>
        <v>0.32069999999999999</v>
      </c>
      <c r="V13" s="59">
        <v>143</v>
      </c>
      <c r="W13" s="152"/>
      <c r="X13" s="131">
        <v>0.45329999999999998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965.85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2.09</v>
      </c>
      <c r="N14" s="127">
        <f t="shared" si="0"/>
        <v>6.71</v>
      </c>
      <c r="O14" s="57" t="e">
        <f>(#REF!/L14)</f>
        <v>#REF!</v>
      </c>
      <c r="P14" s="60">
        <v>3.5379999999999998</v>
      </c>
      <c r="Q14" s="57">
        <f>ROUND((P14*1000000/(24*3600)),2)</f>
        <v>40.950000000000003</v>
      </c>
      <c r="R14" s="60"/>
      <c r="S14" s="147">
        <v>0</v>
      </c>
      <c r="T14" s="147">
        <v>0</v>
      </c>
      <c r="U14" s="60">
        <f t="shared" si="1"/>
        <v>0</v>
      </c>
      <c r="V14" s="60">
        <v>88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419.1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17.5</v>
      </c>
      <c r="N15" s="126">
        <f t="shared" si="0"/>
        <v>57.76</v>
      </c>
      <c r="O15" s="58" t="e">
        <f>(#REF!/L15)</f>
        <v>#REF!</v>
      </c>
      <c r="P15" s="59">
        <v>5.7652000000000001</v>
      </c>
      <c r="Q15" s="58">
        <f t="shared" si="2"/>
        <v>66.73</v>
      </c>
      <c r="R15" s="59">
        <v>2.1652</v>
      </c>
      <c r="S15" s="149">
        <v>0</v>
      </c>
      <c r="T15" s="149">
        <v>0</v>
      </c>
      <c r="U15" s="59">
        <f t="shared" si="1"/>
        <v>2.1652</v>
      </c>
      <c r="V15" s="59">
        <v>57.3</v>
      </c>
      <c r="W15" s="151"/>
      <c r="X15" s="131">
        <v>0.86839999999999995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1746.7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1.456</v>
      </c>
      <c r="N16" s="127">
        <f t="shared" si="0"/>
        <v>19.03</v>
      </c>
      <c r="O16" s="57" t="e">
        <f>(#REF!/L16)</f>
        <v>#REF!</v>
      </c>
      <c r="P16" s="60">
        <v>2.8000000000000001E-2</v>
      </c>
      <c r="Q16" s="57">
        <f t="shared" si="2"/>
        <v>0.32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3.4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453.6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4.57</v>
      </c>
      <c r="N17" s="126">
        <f t="shared" si="0"/>
        <v>71.069999999999993</v>
      </c>
      <c r="O17" s="58" t="e">
        <f>(#REF!/L17)</f>
        <v>#REF!</v>
      </c>
      <c r="P17" s="59">
        <v>2.8662000000000001</v>
      </c>
      <c r="Q17" s="58">
        <f t="shared" si="2"/>
        <v>33.17</v>
      </c>
      <c r="R17" s="59">
        <v>2.1833999999999998</v>
      </c>
      <c r="S17" s="149">
        <v>0</v>
      </c>
      <c r="T17" s="149">
        <v>0</v>
      </c>
      <c r="U17" s="59">
        <f t="shared" si="1"/>
        <v>2.1833999999999998</v>
      </c>
      <c r="V17" s="59">
        <v>36</v>
      </c>
      <c r="W17" s="150"/>
      <c r="X17" s="131">
        <v>1.0199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746.87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0.63539999999999996</v>
      </c>
      <c r="N18" s="127">
        <f t="shared" si="0"/>
        <v>12.01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77" t="s">
        <v>32</v>
      </c>
      <c r="C19" s="58" t="s">
        <v>11</v>
      </c>
      <c r="D19" s="58">
        <v>253</v>
      </c>
      <c r="E19" s="58"/>
      <c r="F19" s="126">
        <v>252.2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4.2060000000000004</v>
      </c>
      <c r="N19" s="126">
        <f t="shared" si="0"/>
        <v>92.44</v>
      </c>
      <c r="O19" s="58" t="e">
        <f>(#REF!/L19)</f>
        <v>#REF!</v>
      </c>
      <c r="P19" s="59">
        <v>5.6517999999999997</v>
      </c>
      <c r="Q19" s="58">
        <f t="shared" si="2"/>
        <v>65.41</v>
      </c>
      <c r="R19" s="59">
        <v>3.9247999999999998</v>
      </c>
      <c r="S19" s="149">
        <v>0</v>
      </c>
      <c r="T19" s="149">
        <v>0</v>
      </c>
      <c r="U19" s="59">
        <f t="shared" si="1"/>
        <v>3.9247999999999998</v>
      </c>
      <c r="V19" s="59">
        <v>50</v>
      </c>
      <c r="W19" s="151"/>
      <c r="X19" s="131">
        <v>1.8069999999999999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187.9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0.55900000000000005</v>
      </c>
      <c r="N20" s="127">
        <f t="shared" si="0"/>
        <v>48.19</v>
      </c>
      <c r="O20" s="57" t="e">
        <f>(#REF!/L20)</f>
        <v>#REF!</v>
      </c>
      <c r="P20" s="60">
        <v>1.3553999999999999</v>
      </c>
      <c r="Q20" s="60">
        <f t="shared" si="2"/>
        <v>15.69</v>
      </c>
      <c r="R20" s="60">
        <v>1.1250199999999999</v>
      </c>
      <c r="S20" s="147">
        <v>0</v>
      </c>
      <c r="T20" s="153">
        <v>0</v>
      </c>
      <c r="U20" s="60">
        <f t="shared" si="1"/>
        <v>1.1250199999999999</v>
      </c>
      <c r="V20" s="60">
        <v>44</v>
      </c>
      <c r="W20" s="154"/>
      <c r="X20" s="131">
        <v>0.34610000000000002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0.20100000000000001</v>
      </c>
      <c r="N22" s="139">
        <f t="shared" si="0"/>
        <v>51.54</v>
      </c>
      <c r="O22" s="115" t="e">
        <f>(#REF!/L22)</f>
        <v>#REF!</v>
      </c>
      <c r="P22" s="116">
        <v>1.2313000000000001</v>
      </c>
      <c r="Q22" s="115">
        <f t="shared" si="2"/>
        <v>14.25</v>
      </c>
      <c r="R22" s="116">
        <v>1.1485879999999999</v>
      </c>
      <c r="S22" s="153">
        <v>0</v>
      </c>
      <c r="T22" s="153">
        <v>0</v>
      </c>
      <c r="U22" s="116">
        <f t="shared" si="1"/>
        <v>1.1485879999999999</v>
      </c>
      <c r="V22" s="116">
        <v>12.6</v>
      </c>
      <c r="W22" s="156"/>
      <c r="X22" s="131">
        <v>0.90439999999999998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898.59</v>
      </c>
      <c r="N23" s="175">
        <f t="shared" si="0"/>
        <v>25.33</v>
      </c>
      <c r="O23" s="175" t="e">
        <f>(#REF!/L23)</f>
        <v>#REF!</v>
      </c>
      <c r="P23" s="89"/>
      <c r="Q23" s="175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131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2323.8200000000002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373.673</v>
      </c>
      <c r="N5" s="126">
        <f t="shared" ref="N5:N23" si="0">ROUND((M5/L5)*100,2)</f>
        <v>25.6</v>
      </c>
      <c r="O5" s="58" t="e">
        <f>(#REF!/L5)</f>
        <v>#REF!</v>
      </c>
      <c r="P5" s="59">
        <v>14.542</v>
      </c>
      <c r="Q5" s="58">
        <f>ROUND((P5*1000000/(24*3600)),2)</f>
        <v>168.31</v>
      </c>
      <c r="R5" s="59">
        <v>1994</v>
      </c>
      <c r="S5" s="149">
        <v>0</v>
      </c>
      <c r="T5" s="149">
        <v>0</v>
      </c>
      <c r="U5" s="59">
        <f t="shared" ref="U5:U22" si="1">R5+S5</f>
        <v>1994</v>
      </c>
      <c r="V5" s="59">
        <v>18.2</v>
      </c>
      <c r="W5" s="152"/>
      <c r="X5" s="131">
        <v>2.8919999999999999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140.15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311.93299999999999</v>
      </c>
      <c r="N6" s="127">
        <f t="shared" si="0"/>
        <v>30.65</v>
      </c>
      <c r="O6" s="57" t="e">
        <f>(#REF!/L6)</f>
        <v>#REF!</v>
      </c>
      <c r="P6" s="60">
        <v>9.9963999999999995</v>
      </c>
      <c r="Q6" s="57">
        <f>ROUND((P6*1000000/(24*3600)),2)</f>
        <v>115.7</v>
      </c>
      <c r="R6" s="60">
        <v>0.22090000000000001</v>
      </c>
      <c r="S6" s="147">
        <v>0</v>
      </c>
      <c r="T6" s="147">
        <v>0</v>
      </c>
      <c r="U6" s="60">
        <f t="shared" si="1"/>
        <v>0.22090000000000001</v>
      </c>
      <c r="V6" s="60">
        <v>12</v>
      </c>
      <c r="W6" s="148"/>
      <c r="X6" s="131">
        <v>5.3199999999999997E-2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949.96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110.78</v>
      </c>
      <c r="N7" s="126">
        <f t="shared" si="0"/>
        <v>24.81</v>
      </c>
      <c r="O7" s="58" t="e">
        <f>(#REF!/L7)</f>
        <v>#REF!</v>
      </c>
      <c r="P7" s="59">
        <v>6.1109</v>
      </c>
      <c r="Q7" s="58">
        <f t="shared" ref="Q7:Q22" si="2">ROUND((P7*1000000/(24*3600)),2)</f>
        <v>70.73</v>
      </c>
      <c r="R7" s="59">
        <v>0.46089999999999998</v>
      </c>
      <c r="S7" s="149">
        <v>0</v>
      </c>
      <c r="T7" s="149">
        <v>0</v>
      </c>
      <c r="U7" s="59">
        <f t="shared" si="1"/>
        <v>0.46089999999999998</v>
      </c>
      <c r="V7" s="59">
        <v>44</v>
      </c>
      <c r="W7" s="151"/>
      <c r="X7" s="131">
        <v>0.74339999999999995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757.8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30.75</v>
      </c>
      <c r="N8" s="127">
        <f t="shared" si="0"/>
        <v>15.3</v>
      </c>
      <c r="O8" s="57" t="e">
        <f>(#REF!/L8)</f>
        <v>#REF!</v>
      </c>
      <c r="P8" s="60">
        <v>2.6</v>
      </c>
      <c r="Q8" s="57">
        <f>ROUND((P8*1000000/(24*3600)),2)</f>
        <v>30.09</v>
      </c>
      <c r="R8" s="60"/>
      <c r="S8" s="147">
        <v>0</v>
      </c>
      <c r="T8" s="147">
        <v>0</v>
      </c>
      <c r="U8" s="60">
        <f t="shared" si="1"/>
        <v>0</v>
      </c>
      <c r="V8" s="60">
        <v>55.6</v>
      </c>
      <c r="W8" s="150" t="s">
        <v>126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2595.1999999999998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24.56</v>
      </c>
      <c r="N9" s="126">
        <f t="shared" si="0"/>
        <v>16.47</v>
      </c>
      <c r="O9" s="58" t="e">
        <f>(#REF!/L9)</f>
        <v>#REF!</v>
      </c>
      <c r="P9" s="59">
        <v>1.0250999999999999</v>
      </c>
      <c r="Q9" s="58">
        <f t="shared" si="2"/>
        <v>11.86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19.100000000000001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1568.1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2.39</v>
      </c>
      <c r="N10" s="127">
        <f t="shared" si="0"/>
        <v>4.3600000000000003</v>
      </c>
      <c r="O10" s="57" t="e">
        <f>(#REF!/L10)</f>
        <v>#REF!</v>
      </c>
      <c r="P10" s="60">
        <v>0.35</v>
      </c>
      <c r="Q10" s="57">
        <f t="shared" si="2"/>
        <v>4.05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17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1195.2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10.3818</v>
      </c>
      <c r="N11" s="126">
        <f t="shared" si="0"/>
        <v>20.83</v>
      </c>
      <c r="O11" s="58" t="e">
        <f>(#REF!/L11)</f>
        <v>#REF!</v>
      </c>
      <c r="P11" s="59">
        <v>0.1041</v>
      </c>
      <c r="Q11" s="59">
        <f t="shared" si="2"/>
        <v>1.2</v>
      </c>
      <c r="R11" s="59"/>
      <c r="S11" s="155">
        <v>0</v>
      </c>
      <c r="T11" s="149">
        <v>0</v>
      </c>
      <c r="U11" s="58">
        <f t="shared" si="1"/>
        <v>0</v>
      </c>
      <c r="V11" s="59">
        <v>5</v>
      </c>
      <c r="W11" s="150" t="s">
        <v>122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692.7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18.235900000000001</v>
      </c>
      <c r="N12" s="127">
        <f t="shared" si="0"/>
        <v>38.47</v>
      </c>
      <c r="O12" s="57" t="e">
        <f>(#REF!/L12)</f>
        <v>#REF!</v>
      </c>
      <c r="P12" s="60">
        <v>0.86850000000000005</v>
      </c>
      <c r="Q12" s="57">
        <f t="shared" si="2"/>
        <v>10.050000000000001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14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750.11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16.013000000000002</v>
      </c>
      <c r="N13" s="126">
        <f t="shared" si="0"/>
        <v>47.12</v>
      </c>
      <c r="O13" s="58" t="e">
        <f>(#REF!/L13)</f>
        <v>#REF!</v>
      </c>
      <c r="P13" s="59">
        <v>1.6274</v>
      </c>
      <c r="Q13" s="58">
        <f t="shared" si="2"/>
        <v>18.84</v>
      </c>
      <c r="R13" s="59">
        <v>2.8473999999999999</v>
      </c>
      <c r="S13" s="149">
        <v>0</v>
      </c>
      <c r="T13" s="149">
        <v>0</v>
      </c>
      <c r="U13" s="59">
        <f t="shared" si="1"/>
        <v>2.8473999999999999</v>
      </c>
      <c r="V13" s="59">
        <v>31</v>
      </c>
      <c r="W13" s="152"/>
      <c r="X13" s="131">
        <v>4.0228999999999999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966.75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2.93</v>
      </c>
      <c r="N14" s="127">
        <f t="shared" si="0"/>
        <v>9.41</v>
      </c>
      <c r="O14" s="57" t="e">
        <f>(#REF!/L14)</f>
        <v>#REF!</v>
      </c>
      <c r="P14" s="60">
        <v>4.6559999999999997</v>
      </c>
      <c r="Q14" s="57">
        <f>ROUND((P14*1000000/(24*3600)),2)</f>
        <v>53.89</v>
      </c>
      <c r="R14" s="60"/>
      <c r="S14" s="147">
        <v>0</v>
      </c>
      <c r="T14" s="147">
        <v>0</v>
      </c>
      <c r="U14" s="60">
        <f t="shared" si="1"/>
        <v>0</v>
      </c>
      <c r="V14" s="60">
        <v>36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419.5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18.5</v>
      </c>
      <c r="N15" s="126">
        <f t="shared" si="0"/>
        <v>61.06</v>
      </c>
      <c r="O15" s="58" t="e">
        <f>(#REF!/L15)</f>
        <v>#REF!</v>
      </c>
      <c r="P15" s="59">
        <v>6.7412000000000001</v>
      </c>
      <c r="Q15" s="58">
        <f t="shared" si="2"/>
        <v>78.02</v>
      </c>
      <c r="R15" s="59">
        <v>4.7485999999999997</v>
      </c>
      <c r="S15" s="149">
        <v>0</v>
      </c>
      <c r="T15" s="149">
        <v>0</v>
      </c>
      <c r="U15" s="59">
        <f t="shared" si="1"/>
        <v>4.7485999999999997</v>
      </c>
      <c r="V15" s="59">
        <v>15</v>
      </c>
      <c r="W15" s="151"/>
      <c r="X15" s="131">
        <v>1.86564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1746.8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1.484</v>
      </c>
      <c r="N16" s="127">
        <f t="shared" si="0"/>
        <v>19.399999999999999</v>
      </c>
      <c r="O16" s="57" t="e">
        <f>(#REF!/L16)</f>
        <v>#REF!</v>
      </c>
      <c r="P16" s="60">
        <v>2.8000000000000001E-2</v>
      </c>
      <c r="Q16" s="57">
        <f t="shared" si="2"/>
        <v>0.32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3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454.35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5.0460000000000003</v>
      </c>
      <c r="N17" s="126">
        <f t="shared" si="0"/>
        <v>78.48</v>
      </c>
      <c r="O17" s="58" t="e">
        <f>(#REF!/L17)</f>
        <v>#REF!</v>
      </c>
      <c r="P17" s="59">
        <v>3.8010999999999999</v>
      </c>
      <c r="Q17" s="58">
        <f t="shared" si="2"/>
        <v>43.99</v>
      </c>
      <c r="R17" s="59">
        <v>1.5595000000000001</v>
      </c>
      <c r="S17" s="149">
        <v>0</v>
      </c>
      <c r="T17" s="149">
        <v>0</v>
      </c>
      <c r="U17" s="59">
        <f t="shared" si="1"/>
        <v>1.5595000000000001</v>
      </c>
      <c r="V17" s="59">
        <v>23</v>
      </c>
      <c r="W17" s="150"/>
      <c r="X17" s="131">
        <v>3.3253330000000001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746.8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0.67410000000000003</v>
      </c>
      <c r="N18" s="127">
        <f t="shared" si="0"/>
        <v>12.74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251.9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4.0780000000000003</v>
      </c>
      <c r="N19" s="126">
        <f t="shared" si="0"/>
        <v>89.63</v>
      </c>
      <c r="O19" s="58" t="e">
        <f>(#REF!/L19)</f>
        <v>#REF!</v>
      </c>
      <c r="P19" s="59">
        <v>6.0361000000000002</v>
      </c>
      <c r="Q19" s="58">
        <f t="shared" si="2"/>
        <v>69.86</v>
      </c>
      <c r="R19" s="59">
        <v>6.1641000000000004</v>
      </c>
      <c r="S19" s="149">
        <v>0</v>
      </c>
      <c r="T19" s="149">
        <v>0</v>
      </c>
      <c r="U19" s="59">
        <f t="shared" si="1"/>
        <v>6.1641000000000004</v>
      </c>
      <c r="V19" s="59">
        <v>22</v>
      </c>
      <c r="W19" s="151"/>
      <c r="X19" s="131">
        <v>2.8380000000000001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185.6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0.32700000000000001</v>
      </c>
      <c r="N20" s="127">
        <f t="shared" si="0"/>
        <v>28.19</v>
      </c>
      <c r="O20" s="57" t="e">
        <f>(#REF!/L20)</f>
        <v>#REF!</v>
      </c>
      <c r="P20" s="60">
        <v>1.4224000000000001</v>
      </c>
      <c r="Q20" s="60">
        <f t="shared" si="2"/>
        <v>16.46</v>
      </c>
      <c r="R20" s="60">
        <v>1.4245000000000001</v>
      </c>
      <c r="S20" s="147">
        <v>0</v>
      </c>
      <c r="T20" s="153">
        <v>0</v>
      </c>
      <c r="U20" s="60">
        <f t="shared" si="1"/>
        <v>1.4245000000000001</v>
      </c>
      <c r="V20" s="60">
        <v>25</v>
      </c>
      <c r="W20" s="154"/>
      <c r="X20" s="131">
        <v>0.43830999999999998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0.189</v>
      </c>
      <c r="N22" s="139">
        <f t="shared" si="0"/>
        <v>48.46</v>
      </c>
      <c r="O22" s="115" t="e">
        <f>(#REF!/L22)</f>
        <v>#REF!</v>
      </c>
      <c r="P22" s="116">
        <v>1.1367</v>
      </c>
      <c r="Q22" s="115">
        <f t="shared" si="2"/>
        <v>13.16</v>
      </c>
      <c r="R22" s="116">
        <v>1.1485669999999999</v>
      </c>
      <c r="S22" s="153">
        <v>0</v>
      </c>
      <c r="T22" s="153">
        <v>0</v>
      </c>
      <c r="U22" s="116">
        <f t="shared" si="1"/>
        <v>1.1485669999999999</v>
      </c>
      <c r="V22" s="116">
        <v>3.9</v>
      </c>
      <c r="W22" s="156"/>
      <c r="X22" s="131">
        <v>0.62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932.14</v>
      </c>
      <c r="N23" s="176">
        <f t="shared" si="0"/>
        <v>26.28</v>
      </c>
      <c r="O23" s="176" t="e">
        <f>(#REF!/L23)</f>
        <v>#REF!</v>
      </c>
      <c r="P23" s="89"/>
      <c r="Q23" s="176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F3" sqref="F3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133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179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2324.56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381.57299999999998</v>
      </c>
      <c r="N5" s="126">
        <f t="shared" ref="N5:N23" si="0">ROUND((M5/L5)*100,2)</f>
        <v>26.14</v>
      </c>
      <c r="O5" s="58" t="e">
        <f>(#REF!/L5)</f>
        <v>#REF!</v>
      </c>
      <c r="P5" s="59">
        <v>8.5879999999999992</v>
      </c>
      <c r="Q5" s="58">
        <f>ROUND((P5*1000000/(24*3600)),2)</f>
        <v>99.4</v>
      </c>
      <c r="R5" s="59">
        <v>0.53349999999999997</v>
      </c>
      <c r="S5" s="149">
        <v>0</v>
      </c>
      <c r="T5" s="149">
        <v>0</v>
      </c>
      <c r="U5" s="59">
        <f t="shared" ref="U5:U22" si="1">R5+S5</f>
        <v>0.53349999999999997</v>
      </c>
      <c r="V5" s="59">
        <v>0.8</v>
      </c>
      <c r="W5" s="152"/>
      <c r="X5" s="131">
        <v>0.77400000000000002</v>
      </c>
      <c r="Y5" s="132"/>
      <c r="Z5" s="135"/>
      <c r="AA5" s="135"/>
    </row>
    <row r="6" spans="1:28" s="53" customFormat="1" ht="35.1" customHeight="1">
      <c r="A6" s="179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140.44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317.60199999999998</v>
      </c>
      <c r="N6" s="127">
        <f t="shared" si="0"/>
        <v>31.2</v>
      </c>
      <c r="O6" s="57" t="e">
        <f>(#REF!/L6)</f>
        <v>#REF!</v>
      </c>
      <c r="P6" s="60">
        <v>5.6828000000000003</v>
      </c>
      <c r="Q6" s="57">
        <f>ROUND((P6*1000000/(24*3600)),2)</f>
        <v>65.77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2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179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950.78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115.5</v>
      </c>
      <c r="N7" s="126">
        <f t="shared" si="0"/>
        <v>25.87</v>
      </c>
      <c r="O7" s="58" t="e">
        <f>(#REF!/L7)</f>
        <v>#REF!</v>
      </c>
      <c r="P7" s="59">
        <v>4.734</v>
      </c>
      <c r="Q7" s="58">
        <f t="shared" ref="Q7:Q22" si="2">ROUND((P7*1000000/(24*3600)),2)</f>
        <v>54.79</v>
      </c>
      <c r="R7" s="59">
        <v>1.4E-2</v>
      </c>
      <c r="S7" s="149">
        <v>0</v>
      </c>
      <c r="T7" s="149">
        <v>0</v>
      </c>
      <c r="U7" s="59">
        <f t="shared" si="1"/>
        <v>1.4E-2</v>
      </c>
      <c r="V7" s="59">
        <v>0</v>
      </c>
      <c r="W7" s="151"/>
      <c r="X7" s="131">
        <v>2.2499999999999999E-2</v>
      </c>
      <c r="Y7" s="133"/>
      <c r="Z7" s="135"/>
      <c r="AA7" s="135"/>
    </row>
    <row r="8" spans="1:28" s="53" customFormat="1" ht="91.5" customHeight="1">
      <c r="A8" s="179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758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31.85</v>
      </c>
      <c r="N8" s="127">
        <f t="shared" si="0"/>
        <v>15.85</v>
      </c>
      <c r="O8" s="57" t="e">
        <f>(#REF!/L8)</f>
        <v>#REF!</v>
      </c>
      <c r="P8" s="60">
        <v>1.1000000000000001</v>
      </c>
      <c r="Q8" s="57">
        <f>ROUND((P8*1000000/(24*3600)),2)</f>
        <v>12.73</v>
      </c>
      <c r="R8" s="60"/>
      <c r="S8" s="147">
        <v>0</v>
      </c>
      <c r="T8" s="147">
        <v>0</v>
      </c>
      <c r="U8" s="60">
        <f t="shared" si="1"/>
        <v>0</v>
      </c>
      <c r="V8" s="60">
        <v>13.6</v>
      </c>
      <c r="W8" s="150" t="s">
        <v>126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179">
        <v>5</v>
      </c>
      <c r="B9" s="122" t="s">
        <v>18</v>
      </c>
      <c r="C9" s="58" t="s">
        <v>19</v>
      </c>
      <c r="D9" s="101">
        <v>2663</v>
      </c>
      <c r="E9" s="58"/>
      <c r="F9" s="129">
        <v>2596.3000000000002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25.72</v>
      </c>
      <c r="N9" s="126">
        <f t="shared" si="0"/>
        <v>17.25</v>
      </c>
      <c r="O9" s="58" t="e">
        <f>(#REF!/L9)</f>
        <v>#REF!</v>
      </c>
      <c r="P9" s="59">
        <v>1.161</v>
      </c>
      <c r="Q9" s="58">
        <f t="shared" si="2"/>
        <v>13.44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10.4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179">
        <v>6</v>
      </c>
      <c r="B10" s="128" t="s">
        <v>22</v>
      </c>
      <c r="C10" s="57" t="s">
        <v>11</v>
      </c>
      <c r="D10" s="57">
        <v>1599.59</v>
      </c>
      <c r="E10" s="57"/>
      <c r="F10" s="127">
        <v>1568.4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2.69</v>
      </c>
      <c r="N10" s="127">
        <f t="shared" si="0"/>
        <v>4.91</v>
      </c>
      <c r="O10" s="57" t="e">
        <f>(#REF!/L10)</f>
        <v>#REF!</v>
      </c>
      <c r="P10" s="60">
        <v>0.3</v>
      </c>
      <c r="Q10" s="57">
        <f t="shared" si="2"/>
        <v>3.47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179">
        <v>7</v>
      </c>
      <c r="B11" s="122" t="s">
        <v>23</v>
      </c>
      <c r="C11" s="58" t="s">
        <v>11</v>
      </c>
      <c r="D11" s="58">
        <v>1207.02</v>
      </c>
      <c r="E11" s="58"/>
      <c r="F11" s="126">
        <v>1195.26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10.485799999999999</v>
      </c>
      <c r="N11" s="126">
        <f t="shared" si="0"/>
        <v>21.04</v>
      </c>
      <c r="O11" s="58" t="e">
        <f>(#REF!/L11)</f>
        <v>#REF!</v>
      </c>
      <c r="P11" s="59">
        <v>0.104</v>
      </c>
      <c r="Q11" s="59">
        <f t="shared" si="2"/>
        <v>1.2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122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179">
        <v>8</v>
      </c>
      <c r="B12" s="128" t="s">
        <v>24</v>
      </c>
      <c r="C12" s="57" t="s">
        <v>11</v>
      </c>
      <c r="D12" s="57">
        <v>707.75</v>
      </c>
      <c r="E12" s="57"/>
      <c r="F12" s="127">
        <v>693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18.709499999999998</v>
      </c>
      <c r="N12" s="127">
        <f t="shared" si="0"/>
        <v>39.47</v>
      </c>
      <c r="O12" s="57" t="e">
        <f>(#REF!/L12)</f>
        <v>#REF!</v>
      </c>
      <c r="P12" s="60">
        <v>0.47360000000000002</v>
      </c>
      <c r="Q12" s="57">
        <f t="shared" si="2"/>
        <v>5.48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4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179">
        <v>9</v>
      </c>
      <c r="B13" s="122" t="s">
        <v>116</v>
      </c>
      <c r="C13" s="58" t="s">
        <v>25</v>
      </c>
      <c r="D13" s="58">
        <v>758.04</v>
      </c>
      <c r="E13" s="58"/>
      <c r="F13" s="126">
        <v>749.44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14.6732</v>
      </c>
      <c r="N13" s="126">
        <f t="shared" si="0"/>
        <v>43.18</v>
      </c>
      <c r="O13" s="58" t="e">
        <f>(#REF!/L13)</f>
        <v>#REF!</v>
      </c>
      <c r="P13" s="59">
        <v>1.2649999999999999</v>
      </c>
      <c r="Q13" s="58">
        <f t="shared" si="2"/>
        <v>14.64</v>
      </c>
      <c r="R13" s="59">
        <v>2.6048</v>
      </c>
      <c r="S13" s="149">
        <v>0</v>
      </c>
      <c r="T13" s="149">
        <v>0</v>
      </c>
      <c r="U13" s="59">
        <f t="shared" si="1"/>
        <v>2.6048</v>
      </c>
      <c r="V13" s="59">
        <v>11</v>
      </c>
      <c r="W13" s="152"/>
      <c r="X13" s="131">
        <v>3.6827999999999999</v>
      </c>
      <c r="Y13" s="133"/>
      <c r="Z13" s="135"/>
      <c r="AA13" s="135"/>
    </row>
    <row r="14" spans="1:28" s="53" customFormat="1" ht="35.1" customHeight="1">
      <c r="A14" s="179">
        <v>10</v>
      </c>
      <c r="B14" s="128" t="s">
        <v>26</v>
      </c>
      <c r="C14" s="57" t="s">
        <v>16</v>
      </c>
      <c r="D14" s="57">
        <v>986.33</v>
      </c>
      <c r="E14" s="57"/>
      <c r="F14" s="127">
        <v>966.45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2.63</v>
      </c>
      <c r="N14" s="127">
        <f t="shared" si="0"/>
        <v>8.44</v>
      </c>
      <c r="O14" s="57" t="e">
        <f>(#REF!/L14)</f>
        <v>#REF!</v>
      </c>
      <c r="P14" s="60">
        <v>3.7429999999999999</v>
      </c>
      <c r="Q14" s="57">
        <f>ROUND((P14*1000000/(24*3600)),2)</f>
        <v>43.32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179">
        <v>11</v>
      </c>
      <c r="B15" s="122" t="s">
        <v>27</v>
      </c>
      <c r="C15" s="58" t="s">
        <v>19</v>
      </c>
      <c r="D15" s="58">
        <v>423.98</v>
      </c>
      <c r="E15" s="58"/>
      <c r="F15" s="126">
        <v>418.8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16.82</v>
      </c>
      <c r="N15" s="126">
        <f t="shared" si="0"/>
        <v>55.51</v>
      </c>
      <c r="O15" s="58" t="e">
        <f>(#REF!/L15)</f>
        <v>#REF!</v>
      </c>
      <c r="P15" s="59">
        <v>6.3131500000000003</v>
      </c>
      <c r="Q15" s="58">
        <f t="shared" si="2"/>
        <v>73.069999999999993</v>
      </c>
      <c r="R15" s="59">
        <v>4.7736999999999998</v>
      </c>
      <c r="S15" s="149">
        <v>0</v>
      </c>
      <c r="T15" s="149">
        <v>0</v>
      </c>
      <c r="U15" s="59">
        <f t="shared" si="1"/>
        <v>4.7736999999999998</v>
      </c>
      <c r="V15" s="59">
        <v>14.6</v>
      </c>
      <c r="W15" s="151"/>
      <c r="X15" s="131">
        <v>1.8760300000000001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179">
        <v>12</v>
      </c>
      <c r="B16" s="128" t="s">
        <v>28</v>
      </c>
      <c r="C16" s="57" t="s">
        <v>11</v>
      </c>
      <c r="D16" s="57">
        <v>1758.69</v>
      </c>
      <c r="E16" s="57"/>
      <c r="F16" s="127">
        <v>1746.95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1.526</v>
      </c>
      <c r="N16" s="127">
        <f t="shared" si="0"/>
        <v>19.95</v>
      </c>
      <c r="O16" s="57" t="e">
        <f>(#REF!/L16)</f>
        <v>#REF!</v>
      </c>
      <c r="P16" s="60">
        <v>4.2000000000000003E-2</v>
      </c>
      <c r="Q16" s="57">
        <f t="shared" si="2"/>
        <v>0.49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1.6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179">
        <v>13</v>
      </c>
      <c r="B17" s="137" t="s">
        <v>30</v>
      </c>
      <c r="C17" s="58" t="s">
        <v>11</v>
      </c>
      <c r="D17" s="58">
        <v>456.59</v>
      </c>
      <c r="E17" s="58"/>
      <c r="F17" s="126">
        <v>452.65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4.04</v>
      </c>
      <c r="N17" s="126">
        <f t="shared" si="0"/>
        <v>62.83</v>
      </c>
      <c r="O17" s="58" t="e">
        <f>(#REF!/L17)</f>
        <v>#REF!</v>
      </c>
      <c r="P17" s="59">
        <v>2.1998000000000002</v>
      </c>
      <c r="Q17" s="58">
        <f t="shared" si="2"/>
        <v>25.46</v>
      </c>
      <c r="R17" s="59">
        <v>3.2052</v>
      </c>
      <c r="S17" s="149">
        <v>0</v>
      </c>
      <c r="T17" s="149">
        <v>0</v>
      </c>
      <c r="U17" s="59">
        <f t="shared" si="1"/>
        <v>3.2052</v>
      </c>
      <c r="V17" s="59">
        <v>12</v>
      </c>
      <c r="W17" s="150"/>
      <c r="X17" s="131">
        <v>1.502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179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179">
        <v>15</v>
      </c>
      <c r="B19" s="137" t="s">
        <v>32</v>
      </c>
      <c r="C19" s="58" t="s">
        <v>11</v>
      </c>
      <c r="D19" s="58">
        <v>253</v>
      </c>
      <c r="E19" s="58"/>
      <c r="F19" s="126">
        <v>250.1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3.331</v>
      </c>
      <c r="N19" s="126">
        <f t="shared" si="0"/>
        <v>73.209999999999994</v>
      </c>
      <c r="O19" s="58" t="e">
        <f>(#REF!/L19)</f>
        <v>#REF!</v>
      </c>
      <c r="P19" s="59">
        <v>5.4279999999999999</v>
      </c>
      <c r="Q19" s="58">
        <f t="shared" si="2"/>
        <v>62.82</v>
      </c>
      <c r="R19" s="59">
        <v>6.1749999999999998</v>
      </c>
      <c r="S19" s="149">
        <v>0</v>
      </c>
      <c r="T19" s="149">
        <v>0</v>
      </c>
      <c r="U19" s="59">
        <f t="shared" si="1"/>
        <v>6.1749999999999998</v>
      </c>
      <c r="V19" s="59">
        <v>11</v>
      </c>
      <c r="W19" s="151"/>
      <c r="X19" s="131">
        <v>2.843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179">
        <v>16</v>
      </c>
      <c r="B20" s="121" t="s">
        <v>33</v>
      </c>
      <c r="C20" s="57" t="s">
        <v>16</v>
      </c>
      <c r="D20" s="57">
        <v>192.63</v>
      </c>
      <c r="E20" s="57"/>
      <c r="F20" s="127">
        <v>188.3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0.60099999999999998</v>
      </c>
      <c r="N20" s="127">
        <f t="shared" si="0"/>
        <v>51.81</v>
      </c>
      <c r="O20" s="57" t="e">
        <f>(#REF!/L20)</f>
        <v>#REF!</v>
      </c>
      <c r="P20" s="60">
        <v>1.0622</v>
      </c>
      <c r="Q20" s="60">
        <f t="shared" si="2"/>
        <v>12.29</v>
      </c>
      <c r="R20" s="60">
        <v>0.93310000000000004</v>
      </c>
      <c r="S20" s="147">
        <v>0</v>
      </c>
      <c r="T20" s="153">
        <v>0</v>
      </c>
      <c r="U20" s="60">
        <f t="shared" si="1"/>
        <v>0.93310000000000004</v>
      </c>
      <c r="V20" s="60">
        <v>0</v>
      </c>
      <c r="W20" s="154"/>
      <c r="X20" s="131">
        <v>0.28711999999999999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179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80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0.14199999999999999</v>
      </c>
      <c r="N22" s="139">
        <f t="shared" si="0"/>
        <v>36.409999999999997</v>
      </c>
      <c r="O22" s="115" t="e">
        <f>(#REF!/L22)</f>
        <v>#REF!</v>
      </c>
      <c r="P22" s="116">
        <v>1.1456</v>
      </c>
      <c r="Q22" s="115">
        <f t="shared" si="2"/>
        <v>13.26</v>
      </c>
      <c r="R22" s="116">
        <v>1.1929110000000001</v>
      </c>
      <c r="S22" s="153">
        <v>0</v>
      </c>
      <c r="T22" s="153">
        <v>0</v>
      </c>
      <c r="U22" s="116">
        <f t="shared" si="1"/>
        <v>1.1929110000000001</v>
      </c>
      <c r="V22" s="116">
        <v>2.2999999999999998</v>
      </c>
      <c r="W22" s="156"/>
      <c r="X22" s="131">
        <v>0.93930000000000002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948.8</v>
      </c>
      <c r="N23" s="176">
        <f t="shared" si="0"/>
        <v>26.75</v>
      </c>
      <c r="O23" s="176" t="e">
        <f>(#REF!/L23)</f>
        <v>#REF!</v>
      </c>
      <c r="P23" s="89"/>
      <c r="Q23" s="176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J8" sqref="J8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2324.9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385.202</v>
      </c>
      <c r="N5" s="126">
        <f t="shared" ref="N5:N23" si="0">ROUND((M5/L5)*100,2)</f>
        <v>26.39</v>
      </c>
      <c r="O5" s="58" t="e">
        <f>(#REF!/L5)</f>
        <v>#REF!</v>
      </c>
      <c r="P5" s="59">
        <v>6.1219999999999999</v>
      </c>
      <c r="Q5" s="58">
        <f>ROUND((P5*1000000/(24*3600)),2)</f>
        <v>70.86</v>
      </c>
      <c r="R5" s="59">
        <v>2.3374999999999999</v>
      </c>
      <c r="S5" s="149">
        <v>0</v>
      </c>
      <c r="T5" s="149">
        <v>0</v>
      </c>
      <c r="U5" s="59">
        <f t="shared" ref="U5:U22" si="1">R5+S5</f>
        <v>2.3374999999999999</v>
      </c>
      <c r="V5" s="59">
        <v>7.6</v>
      </c>
      <c r="W5" s="152"/>
      <c r="X5" s="131">
        <v>3.3919999999999999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140.66999999999999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322.09800000000001</v>
      </c>
      <c r="N6" s="127">
        <f t="shared" si="0"/>
        <v>31.65</v>
      </c>
      <c r="O6" s="57" t="e">
        <f>(#REF!/L6)</f>
        <v>#REF!</v>
      </c>
      <c r="P6" s="60">
        <v>4.79</v>
      </c>
      <c r="Q6" s="57">
        <f>ROUND((P6*1000000/(24*3600)),2)</f>
        <v>55.44</v>
      </c>
      <c r="R6" s="60">
        <v>0.26479999999999998</v>
      </c>
      <c r="S6" s="147">
        <v>0</v>
      </c>
      <c r="T6" s="147">
        <v>0</v>
      </c>
      <c r="U6" s="60">
        <f t="shared" si="1"/>
        <v>0.26479999999999998</v>
      </c>
      <c r="V6" s="60">
        <v>14.2</v>
      </c>
      <c r="W6" s="148"/>
      <c r="X6" s="131">
        <v>6.4100000000000004E-2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951.27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118.42</v>
      </c>
      <c r="N7" s="126">
        <f t="shared" si="0"/>
        <v>26.52</v>
      </c>
      <c r="O7" s="58" t="e">
        <f>(#REF!/L7)</f>
        <v>#REF!</v>
      </c>
      <c r="P7" s="59">
        <v>3.4315000000000002</v>
      </c>
      <c r="Q7" s="58">
        <f t="shared" ref="Q7:Q22" si="2">ROUND((P7*1000000/(24*3600)),2)</f>
        <v>39.72</v>
      </c>
      <c r="R7" s="59">
        <v>0.51149999999999995</v>
      </c>
      <c r="S7" s="149">
        <v>0</v>
      </c>
      <c r="T7" s="149">
        <v>0</v>
      </c>
      <c r="U7" s="59">
        <f t="shared" si="1"/>
        <v>0.51149999999999995</v>
      </c>
      <c r="V7" s="59">
        <v>4</v>
      </c>
      <c r="W7" s="151"/>
      <c r="X7" s="131">
        <v>0.82499999999999996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758.7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36.35</v>
      </c>
      <c r="N8" s="127">
        <f t="shared" si="0"/>
        <v>18.079999999999998</v>
      </c>
      <c r="O8" s="57" t="e">
        <f>(#REF!/L8)</f>
        <v>#REF!</v>
      </c>
      <c r="P8" s="60">
        <v>4.5</v>
      </c>
      <c r="Q8" s="57">
        <f>ROUND((P8*1000000/(24*3600)),2)</f>
        <v>52.08</v>
      </c>
      <c r="R8" s="60"/>
      <c r="S8" s="147">
        <v>0</v>
      </c>
      <c r="T8" s="147">
        <v>0</v>
      </c>
      <c r="U8" s="60">
        <f t="shared" si="1"/>
        <v>0</v>
      </c>
      <c r="V8" s="60">
        <v>118.6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2597.6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27.16</v>
      </c>
      <c r="N9" s="126">
        <f t="shared" si="0"/>
        <v>18.22</v>
      </c>
      <c r="O9" s="58" t="e">
        <f>(#REF!/L9)</f>
        <v>#REF!</v>
      </c>
      <c r="P9" s="59">
        <v>1.5562</v>
      </c>
      <c r="Q9" s="58">
        <f t="shared" si="2"/>
        <v>18.010000000000002</v>
      </c>
      <c r="R9" s="59">
        <v>0.12330000000000001</v>
      </c>
      <c r="S9" s="149">
        <v>0</v>
      </c>
      <c r="T9" s="149">
        <v>0</v>
      </c>
      <c r="U9" s="59">
        <f t="shared" si="1"/>
        <v>0.12330000000000001</v>
      </c>
      <c r="V9" s="59">
        <v>13</v>
      </c>
      <c r="W9" s="151"/>
      <c r="X9" s="131">
        <v>7.8399999999999997E-2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1568.55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2.84</v>
      </c>
      <c r="N10" s="127">
        <f t="shared" si="0"/>
        <v>5.19</v>
      </c>
      <c r="O10" s="57" t="e">
        <f>(#REF!/L10)</f>
        <v>#REF!</v>
      </c>
      <c r="P10" s="60">
        <v>0.15</v>
      </c>
      <c r="Q10" s="57">
        <f t="shared" si="2"/>
        <v>1.74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1.6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1195.29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10.5379</v>
      </c>
      <c r="N11" s="126">
        <f t="shared" si="0"/>
        <v>21.15</v>
      </c>
      <c r="O11" s="58" t="e">
        <f>(#REF!/L11)</f>
        <v>#REF!</v>
      </c>
      <c r="P11" s="59">
        <v>5.21E-2</v>
      </c>
      <c r="Q11" s="59">
        <f t="shared" si="2"/>
        <v>0.6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693.3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19.183199999999999</v>
      </c>
      <c r="N12" s="127">
        <f t="shared" si="0"/>
        <v>40.47</v>
      </c>
      <c r="O12" s="57" t="e">
        <f>(#REF!/L12)</f>
        <v>#REF!</v>
      </c>
      <c r="P12" s="60">
        <v>0.51700000000000002</v>
      </c>
      <c r="Q12" s="57">
        <f t="shared" si="2"/>
        <v>5.98</v>
      </c>
      <c r="R12" s="60">
        <v>4.3339999999999997E-2</v>
      </c>
      <c r="S12" s="147">
        <v>0</v>
      </c>
      <c r="T12" s="147">
        <v>0</v>
      </c>
      <c r="U12" s="60">
        <f>R12+S12</f>
        <v>4.3339999999999997E-2</v>
      </c>
      <c r="V12" s="60">
        <v>6</v>
      </c>
      <c r="W12" s="150"/>
      <c r="X12" s="131">
        <v>1.78E-2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750.23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16.257000000000001</v>
      </c>
      <c r="N13" s="126">
        <f t="shared" si="0"/>
        <v>47.84</v>
      </c>
      <c r="O13" s="58" t="e">
        <f>(#REF!/L13)</f>
        <v>#REF!</v>
      </c>
      <c r="P13" s="59">
        <v>2.8694000000000002</v>
      </c>
      <c r="Q13" s="58">
        <f t="shared" si="2"/>
        <v>33.21</v>
      </c>
      <c r="R13" s="59">
        <v>1.2856000000000001</v>
      </c>
      <c r="S13" s="149">
        <v>0</v>
      </c>
      <c r="T13" s="149">
        <v>0</v>
      </c>
      <c r="U13" s="59">
        <f t="shared" si="1"/>
        <v>1.2856000000000001</v>
      </c>
      <c r="V13" s="59">
        <v>150</v>
      </c>
      <c r="W13" s="152"/>
      <c r="X13" s="131">
        <v>1.8160000000000001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966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2.21</v>
      </c>
      <c r="N14" s="127">
        <f t="shared" si="0"/>
        <v>7.09</v>
      </c>
      <c r="O14" s="57" t="e">
        <f>(#REF!/L14)</f>
        <v>#REF!</v>
      </c>
      <c r="P14" s="60">
        <v>3.3050000000000002</v>
      </c>
      <c r="Q14" s="57">
        <f>ROUND((P14*1000000/(24*3600)),2)</f>
        <v>38.25</v>
      </c>
      <c r="R14" s="60"/>
      <c r="S14" s="147">
        <v>0</v>
      </c>
      <c r="T14" s="147">
        <v>0</v>
      </c>
      <c r="U14" s="60">
        <f t="shared" si="1"/>
        <v>0</v>
      </c>
      <c r="V14" s="60">
        <v>19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417.7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14.5</v>
      </c>
      <c r="N15" s="126">
        <f t="shared" si="0"/>
        <v>47.85</v>
      </c>
      <c r="O15" s="58" t="e">
        <f>(#REF!/L15)</f>
        <v>#REF!</v>
      </c>
      <c r="P15" s="59">
        <v>2.3694999999999999</v>
      </c>
      <c r="Q15" s="58">
        <f t="shared" si="2"/>
        <v>27.42</v>
      </c>
      <c r="R15" s="59">
        <v>4.6894999999999998</v>
      </c>
      <c r="S15" s="149">
        <v>0</v>
      </c>
      <c r="T15" s="149">
        <v>0</v>
      </c>
      <c r="U15" s="59">
        <f t="shared" si="1"/>
        <v>4.6894999999999998</v>
      </c>
      <c r="V15" s="59">
        <v>25</v>
      </c>
      <c r="W15" s="151" t="s">
        <v>136</v>
      </c>
      <c r="X15" s="131">
        <v>1.8411599999999999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1747.05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1.5660000000000001</v>
      </c>
      <c r="N16" s="127">
        <f t="shared" si="0"/>
        <v>20.47</v>
      </c>
      <c r="O16" s="57" t="e">
        <f>(#REF!/L16)</f>
        <v>#REF!</v>
      </c>
      <c r="P16" s="60">
        <v>0.04</v>
      </c>
      <c r="Q16" s="57">
        <f t="shared" si="2"/>
        <v>0.46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454.35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5.0460000000000003</v>
      </c>
      <c r="N17" s="126">
        <f t="shared" si="0"/>
        <v>78.48</v>
      </c>
      <c r="O17" s="58" t="e">
        <f>(#REF!/L17)</f>
        <v>#REF!</v>
      </c>
      <c r="P17" s="59">
        <v>2.9438</v>
      </c>
      <c r="Q17" s="58">
        <f t="shared" si="2"/>
        <v>34.07</v>
      </c>
      <c r="R17" s="59">
        <v>1.9383999999999999</v>
      </c>
      <c r="S17" s="149">
        <v>0</v>
      </c>
      <c r="T17" s="149">
        <v>0</v>
      </c>
      <c r="U17" s="59">
        <f t="shared" si="1"/>
        <v>1.9383999999999999</v>
      </c>
      <c r="V17" s="59">
        <v>5</v>
      </c>
      <c r="W17" s="150"/>
      <c r="X17" s="131">
        <v>0.90839999999999999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250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3.29</v>
      </c>
      <c r="N19" s="126">
        <f t="shared" si="0"/>
        <v>72.31</v>
      </c>
      <c r="O19" s="58" t="e">
        <f>(#REF!/L19)</f>
        <v>#REF!</v>
      </c>
      <c r="P19" s="59">
        <v>4.7287999999999997</v>
      </c>
      <c r="Q19" s="58">
        <f t="shared" si="2"/>
        <v>54.73</v>
      </c>
      <c r="R19" s="59">
        <v>3.9878</v>
      </c>
      <c r="S19" s="149">
        <v>0</v>
      </c>
      <c r="T19" s="149">
        <v>0</v>
      </c>
      <c r="U19" s="59">
        <f t="shared" si="1"/>
        <v>3.9878</v>
      </c>
      <c r="V19" s="59">
        <v>9</v>
      </c>
      <c r="W19" s="151"/>
      <c r="X19" s="131">
        <v>1.8360000000000001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185.3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0.308</v>
      </c>
      <c r="N20" s="127">
        <f t="shared" si="0"/>
        <v>26.55</v>
      </c>
      <c r="O20" s="57" t="e">
        <f>(#REF!/L20)</f>
        <v>#REF!</v>
      </c>
      <c r="P20" s="60">
        <v>1.0559000000000001</v>
      </c>
      <c r="Q20" s="60">
        <f t="shared" si="2"/>
        <v>12.22</v>
      </c>
      <c r="R20" s="60">
        <v>0.79066000000000003</v>
      </c>
      <c r="S20" s="147">
        <v>0</v>
      </c>
      <c r="T20" s="153">
        <v>0</v>
      </c>
      <c r="U20" s="60">
        <f t="shared" si="1"/>
        <v>0.79066000000000003</v>
      </c>
      <c r="V20" s="60">
        <v>4</v>
      </c>
      <c r="W20" s="154"/>
      <c r="X20" s="131">
        <v>0.24328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0.14199999999999999</v>
      </c>
      <c r="N22" s="139">
        <f t="shared" si="0"/>
        <v>36.409999999999997</v>
      </c>
      <c r="O22" s="115" t="e">
        <f>(#REF!/L22)</f>
        <v>#REF!</v>
      </c>
      <c r="P22" s="116">
        <v>0.94359999999999999</v>
      </c>
      <c r="Q22" s="115">
        <f t="shared" si="2"/>
        <v>10.92</v>
      </c>
      <c r="R22" s="116">
        <v>0.94360999999999995</v>
      </c>
      <c r="S22" s="153">
        <v>0</v>
      </c>
      <c r="T22" s="153">
        <v>0</v>
      </c>
      <c r="U22" s="116">
        <f t="shared" si="1"/>
        <v>0.94360999999999995</v>
      </c>
      <c r="V22" s="116">
        <v>0</v>
      </c>
      <c r="W22" s="156"/>
      <c r="X22" s="131">
        <v>0.74299999999999999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966.02</v>
      </c>
      <c r="N23" s="178">
        <f t="shared" si="0"/>
        <v>27.23</v>
      </c>
      <c r="O23" s="178" t="e">
        <f>(#REF!/L23)</f>
        <v>#REF!</v>
      </c>
      <c r="P23" s="89"/>
      <c r="Q23" s="178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N3" sqref="N3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138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2325.2600000000002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389.04500000000002</v>
      </c>
      <c r="N5" s="126">
        <f t="shared" ref="N5:N23" si="0">ROUND((M5/L5)*100,2)</f>
        <v>26.66</v>
      </c>
      <c r="O5" s="58" t="e">
        <f>(#REF!/L5)</f>
        <v>#REF!</v>
      </c>
      <c r="P5" s="59">
        <v>5.577</v>
      </c>
      <c r="Q5" s="58">
        <f>ROUND((P5*1000000/(24*3600)),2)</f>
        <v>64.55</v>
      </c>
      <c r="R5" s="59">
        <v>1.5785</v>
      </c>
      <c r="S5" s="149">
        <v>0</v>
      </c>
      <c r="T5" s="149">
        <v>0</v>
      </c>
      <c r="U5" s="59">
        <f t="shared" ref="U5:U22" si="1">R5+S5</f>
        <v>1.5785</v>
      </c>
      <c r="V5" s="59">
        <v>11.4</v>
      </c>
      <c r="W5" s="152"/>
      <c r="X5" s="131">
        <v>2.2909999999999999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141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328.55</v>
      </c>
      <c r="N6" s="127">
        <f t="shared" si="0"/>
        <v>32.28</v>
      </c>
      <c r="O6" s="57" t="e">
        <f>(#REF!/L6)</f>
        <v>#REF!</v>
      </c>
      <c r="P6" s="60">
        <v>6.4790999999999999</v>
      </c>
      <c r="Q6" s="57">
        <f>ROUND((P6*1000000/(24*3600)),2)</f>
        <v>74.989999999999995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25.6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951.69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120.94</v>
      </c>
      <c r="N7" s="126">
        <f t="shared" si="0"/>
        <v>27.09</v>
      </c>
      <c r="O7" s="58" t="e">
        <f>(#REF!/L7)</f>
        <v>#REF!</v>
      </c>
      <c r="P7" s="59">
        <v>3.0655999999999999</v>
      </c>
      <c r="Q7" s="58">
        <f t="shared" ref="Q7:Q22" si="2">ROUND((P7*1000000/(24*3600)),2)</f>
        <v>35.479999999999997</v>
      </c>
      <c r="R7" s="59">
        <v>0.54559999999999997</v>
      </c>
      <c r="S7" s="149">
        <v>0</v>
      </c>
      <c r="T7" s="149">
        <v>0</v>
      </c>
      <c r="U7" s="59">
        <f t="shared" si="1"/>
        <v>0.54559999999999997</v>
      </c>
      <c r="V7" s="59">
        <v>10</v>
      </c>
      <c r="W7" s="151"/>
      <c r="X7" s="131">
        <v>0.88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759.5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41.55</v>
      </c>
      <c r="N8" s="127">
        <f t="shared" si="0"/>
        <v>20.67</v>
      </c>
      <c r="O8" s="57" t="e">
        <f>(#REF!/L8)</f>
        <v>#REF!</v>
      </c>
      <c r="P8" s="60">
        <v>5.2</v>
      </c>
      <c r="Q8" s="57">
        <f>ROUND((P8*1000000/(24*3600)),2)</f>
        <v>60.19</v>
      </c>
      <c r="R8" s="60"/>
      <c r="S8" s="147">
        <v>0</v>
      </c>
      <c r="T8" s="147">
        <v>0</v>
      </c>
      <c r="U8" s="60">
        <f t="shared" si="1"/>
        <v>0</v>
      </c>
      <c r="V8" s="60">
        <v>114.6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2599.1999999999998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29.04</v>
      </c>
      <c r="N9" s="126">
        <f t="shared" si="0"/>
        <v>19.48</v>
      </c>
      <c r="O9" s="58" t="e">
        <f>(#REF!/L9)</f>
        <v>#REF!</v>
      </c>
      <c r="P9" s="59">
        <v>1.8803000000000001</v>
      </c>
      <c r="Q9" s="58">
        <f t="shared" si="2"/>
        <v>21.76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26.4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1568.8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3.09</v>
      </c>
      <c r="N10" s="127">
        <f t="shared" si="0"/>
        <v>5.64</v>
      </c>
      <c r="O10" s="57" t="e">
        <f>(#REF!/L10)</f>
        <v>#REF!</v>
      </c>
      <c r="P10" s="60">
        <v>0.25</v>
      </c>
      <c r="Q10" s="57">
        <f t="shared" si="2"/>
        <v>2.89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6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1195.3399999999999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10.624599999999999</v>
      </c>
      <c r="N11" s="126">
        <f t="shared" si="0"/>
        <v>21.32</v>
      </c>
      <c r="O11" s="58" t="e">
        <f>(#REF!/L11)</f>
        <v>#REF!</v>
      </c>
      <c r="P11" s="59">
        <v>8.6699999999999999E-2</v>
      </c>
      <c r="Q11" s="59">
        <f t="shared" si="2"/>
        <v>1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693.5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19.506399999999999</v>
      </c>
      <c r="N12" s="127">
        <f t="shared" si="0"/>
        <v>41.15</v>
      </c>
      <c r="O12" s="57" t="e">
        <f>(#REF!/L12)</f>
        <v>#REF!</v>
      </c>
      <c r="P12" s="60">
        <v>0.32319999999999999</v>
      </c>
      <c r="Q12" s="57">
        <f t="shared" si="2"/>
        <v>3.74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14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750.97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17.721</v>
      </c>
      <c r="N13" s="126">
        <f t="shared" si="0"/>
        <v>52.15</v>
      </c>
      <c r="O13" s="58" t="e">
        <f>(#REF!/L13)</f>
        <v>#REF!</v>
      </c>
      <c r="P13" s="59">
        <v>3.2919</v>
      </c>
      <c r="Q13" s="58">
        <f t="shared" si="2"/>
        <v>38.1</v>
      </c>
      <c r="R13" s="59">
        <v>1.8279000000000001</v>
      </c>
      <c r="S13" s="149">
        <v>0</v>
      </c>
      <c r="T13" s="149">
        <v>0</v>
      </c>
      <c r="U13" s="59">
        <f t="shared" si="1"/>
        <v>1.8279000000000001</v>
      </c>
      <c r="V13" s="59">
        <v>87</v>
      </c>
      <c r="W13" s="152"/>
      <c r="X13" s="131">
        <v>2.5798000000000001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965.65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1.89</v>
      </c>
      <c r="N14" s="127">
        <f t="shared" si="0"/>
        <v>6.07</v>
      </c>
      <c r="O14" s="57" t="e">
        <f>(#REF!/L14)</f>
        <v>#REF!</v>
      </c>
      <c r="P14" s="60">
        <v>2.9260000000000002</v>
      </c>
      <c r="Q14" s="57">
        <f>ROUND((P14*1000000/(24*3600)),2)</f>
        <v>33.869999999999997</v>
      </c>
      <c r="R14" s="60"/>
      <c r="S14" s="147">
        <v>0</v>
      </c>
      <c r="T14" s="147">
        <v>0</v>
      </c>
      <c r="U14" s="60">
        <f t="shared" si="1"/>
        <v>0</v>
      </c>
      <c r="V14" s="60">
        <v>7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417.2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13.5</v>
      </c>
      <c r="N15" s="126">
        <f t="shared" si="0"/>
        <v>44.55</v>
      </c>
      <c r="O15" s="58" t="e">
        <f>(#REF!/L15)</f>
        <v>#REF!</v>
      </c>
      <c r="P15" s="59">
        <v>2.488</v>
      </c>
      <c r="Q15" s="58">
        <f t="shared" si="2"/>
        <v>28.8</v>
      </c>
      <c r="R15" s="59">
        <v>3.488</v>
      </c>
      <c r="S15" s="149">
        <v>0</v>
      </c>
      <c r="T15" s="149">
        <v>0</v>
      </c>
      <c r="U15" s="59">
        <f t="shared" si="1"/>
        <v>3.488</v>
      </c>
      <c r="V15" s="59">
        <v>15</v>
      </c>
      <c r="W15" s="151" t="s">
        <v>136</v>
      </c>
      <c r="X15" s="131">
        <v>1.3755500000000001</v>
      </c>
      <c r="Y15" s="131"/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1747.15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1.5980000000000001</v>
      </c>
      <c r="N16" s="127">
        <f t="shared" si="0"/>
        <v>20.89</v>
      </c>
      <c r="O16" s="57" t="e">
        <f>(#REF!/L16)</f>
        <v>#REF!</v>
      </c>
      <c r="P16" s="60">
        <v>3.2000000000000001E-2</v>
      </c>
      <c r="Q16" s="57">
        <f t="shared" si="2"/>
        <v>0.37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0.2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452.15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3.7850000000000001</v>
      </c>
      <c r="N17" s="126">
        <f t="shared" si="0"/>
        <v>58.86</v>
      </c>
      <c r="O17" s="58" t="e">
        <f>(#REF!/L17)</f>
        <v>#REF!</v>
      </c>
      <c r="P17" s="59">
        <v>0.63980000000000004</v>
      </c>
      <c r="Q17" s="58">
        <f t="shared" si="2"/>
        <v>7.41</v>
      </c>
      <c r="R17" s="59">
        <v>1.9004000000000001</v>
      </c>
      <c r="S17" s="149">
        <v>0</v>
      </c>
      <c r="T17" s="149">
        <v>0</v>
      </c>
      <c r="U17" s="59">
        <f t="shared" si="1"/>
        <v>1.9004000000000001</v>
      </c>
      <c r="V17" s="59">
        <v>14</v>
      </c>
      <c r="W17" s="150"/>
      <c r="X17" s="131">
        <v>0.89790000000000003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2.5099999999999998</v>
      </c>
      <c r="N19" s="126">
        <f t="shared" si="0"/>
        <v>55.16</v>
      </c>
      <c r="O19" s="58" t="e">
        <f>(#REF!/L19)</f>
        <v>#REF!</v>
      </c>
      <c r="P19" s="59">
        <v>2.5627</v>
      </c>
      <c r="Q19" s="58">
        <f t="shared" si="2"/>
        <v>29.66</v>
      </c>
      <c r="R19" s="59">
        <v>3.3426999999999998</v>
      </c>
      <c r="S19" s="149">
        <v>0</v>
      </c>
      <c r="T19" s="149">
        <v>0</v>
      </c>
      <c r="U19" s="59">
        <f t="shared" si="1"/>
        <v>3.3426999999999998</v>
      </c>
      <c r="V19" s="59">
        <v>16</v>
      </c>
      <c r="W19" s="151"/>
      <c r="X19" s="131">
        <v>1.5389999999999999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0.36499999999999999</v>
      </c>
      <c r="N20" s="127">
        <f t="shared" si="0"/>
        <v>31.47</v>
      </c>
      <c r="O20" s="57" t="e">
        <f>(#REF!/L20)</f>
        <v>#REF!</v>
      </c>
      <c r="P20" s="60">
        <v>0.59799999999999998</v>
      </c>
      <c r="Q20" s="60">
        <f t="shared" si="2"/>
        <v>6.92</v>
      </c>
      <c r="R20" s="60">
        <v>0.98972249999999995</v>
      </c>
      <c r="S20" s="147">
        <v>0</v>
      </c>
      <c r="T20" s="153">
        <v>0</v>
      </c>
      <c r="U20" s="60">
        <f t="shared" si="1"/>
        <v>0.98972249999999995</v>
      </c>
      <c r="V20" s="60">
        <v>6</v>
      </c>
      <c r="W20" s="154"/>
      <c r="X20" s="131">
        <v>0.30453000000000002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0.20100000000000001</v>
      </c>
      <c r="N22" s="139">
        <f t="shared" si="0"/>
        <v>51.54</v>
      </c>
      <c r="O22" s="115" t="e">
        <f>(#REF!/L22)</f>
        <v>#REF!</v>
      </c>
      <c r="P22" s="116">
        <v>0.95299999999999996</v>
      </c>
      <c r="Q22" s="115">
        <f t="shared" si="2"/>
        <v>11.03</v>
      </c>
      <c r="R22" s="116">
        <v>0.89395000000000002</v>
      </c>
      <c r="S22" s="153">
        <v>0</v>
      </c>
      <c r="T22" s="153">
        <v>0</v>
      </c>
      <c r="U22" s="116">
        <f t="shared" si="1"/>
        <v>0.89395000000000002</v>
      </c>
      <c r="V22" s="116">
        <v>7.2</v>
      </c>
      <c r="W22" s="156"/>
      <c r="X22" s="131">
        <v>0.70389999999999997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984.82</v>
      </c>
      <c r="N23" s="181">
        <f t="shared" si="0"/>
        <v>27.76</v>
      </c>
      <c r="O23" s="181" t="e">
        <f>(#REF!/L23)</f>
        <v>#REF!</v>
      </c>
      <c r="P23" s="89"/>
      <c r="Q23" s="181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119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J7" sqref="J7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139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2325.8200000000002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395.024</v>
      </c>
      <c r="N5" s="126">
        <f t="shared" ref="N5:N23" si="0">ROUND((M5/L5)*100,2)</f>
        <v>27.07</v>
      </c>
      <c r="O5" s="58" t="e">
        <f>(#REF!/L5)</f>
        <v>#REF!</v>
      </c>
      <c r="P5" s="59">
        <v>7.4829999999999997</v>
      </c>
      <c r="Q5" s="58">
        <f>ROUND((P5*1000000/(24*3600)),2)</f>
        <v>86.61</v>
      </c>
      <c r="R5" s="59">
        <v>1.3501000000000001</v>
      </c>
      <c r="S5" s="149">
        <v>0</v>
      </c>
      <c r="T5" s="149">
        <v>0</v>
      </c>
      <c r="U5" s="59">
        <f t="shared" ref="U5:U22" si="1">R5+S5</f>
        <v>1.3501000000000001</v>
      </c>
      <c r="V5" s="59">
        <v>38.799999999999997</v>
      </c>
      <c r="W5" s="152"/>
      <c r="X5" s="131">
        <v>1.96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141.46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337.45100000000002</v>
      </c>
      <c r="N6" s="127">
        <f t="shared" si="0"/>
        <v>33.15</v>
      </c>
      <c r="O6" s="57" t="e">
        <f>(#REF!/L6)</f>
        <v>#REF!</v>
      </c>
      <c r="P6" s="60">
        <v>10.073700000000001</v>
      </c>
      <c r="Q6" s="57">
        <f>ROUND((P6*1000000/(24*3600)),2)</f>
        <v>116.59</v>
      </c>
      <c r="R6" s="60">
        <v>0.6502</v>
      </c>
      <c r="S6" s="147">
        <v>0</v>
      </c>
      <c r="T6" s="147">
        <v>0</v>
      </c>
      <c r="U6" s="60">
        <f t="shared" si="1"/>
        <v>0.6502</v>
      </c>
      <c r="V6" s="60">
        <v>90.8</v>
      </c>
      <c r="W6" s="148"/>
      <c r="X6" s="131">
        <v>0.15859999999999999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952.06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123.19</v>
      </c>
      <c r="N7" s="126">
        <f t="shared" si="0"/>
        <v>27.59</v>
      </c>
      <c r="O7" s="58" t="e">
        <f>(#REF!/L7)</f>
        <v>#REF!</v>
      </c>
      <c r="P7" s="59">
        <v>2.8142</v>
      </c>
      <c r="Q7" s="58">
        <f t="shared" ref="Q7:Q22" si="2">ROUND((P7*1000000/(24*3600)),2)</f>
        <v>32.57</v>
      </c>
      <c r="R7" s="59">
        <v>0.56420000000000003</v>
      </c>
      <c r="S7" s="149">
        <v>0</v>
      </c>
      <c r="T7" s="149">
        <v>0</v>
      </c>
      <c r="U7" s="59">
        <f t="shared" si="1"/>
        <v>0.56420000000000003</v>
      </c>
      <c r="V7" s="59">
        <v>30</v>
      </c>
      <c r="W7" s="151"/>
      <c r="X7" s="131">
        <v>0.91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760.5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48.35</v>
      </c>
      <c r="N8" s="127">
        <f t="shared" si="0"/>
        <v>24.05</v>
      </c>
      <c r="O8" s="57" t="e">
        <f>(#REF!/L8)</f>
        <v>#REF!</v>
      </c>
      <c r="P8" s="60">
        <v>6.8</v>
      </c>
      <c r="Q8" s="57">
        <f>ROUND((P8*1000000/(24*3600)),2)</f>
        <v>78.7</v>
      </c>
      <c r="R8" s="60"/>
      <c r="S8" s="147">
        <v>0</v>
      </c>
      <c r="T8" s="147">
        <v>0</v>
      </c>
      <c r="U8" s="60">
        <f t="shared" si="1"/>
        <v>0</v>
      </c>
      <c r="V8" s="60">
        <v>85.1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2601.6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32.01</v>
      </c>
      <c r="N9" s="126">
        <f t="shared" si="0"/>
        <v>21.47</v>
      </c>
      <c r="O9" s="58" t="e">
        <f>(#REF!/L9)</f>
        <v>#REF!</v>
      </c>
      <c r="P9" s="59">
        <v>2.9733000000000001</v>
      </c>
      <c r="Q9" s="58">
        <f t="shared" si="2"/>
        <v>34.409999999999997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88.8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1568.9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3.19</v>
      </c>
      <c r="N10" s="127">
        <f t="shared" si="0"/>
        <v>5.82</v>
      </c>
      <c r="O10" s="57" t="e">
        <f>(#REF!/L10)</f>
        <v>#REF!</v>
      </c>
      <c r="P10" s="60">
        <v>0.1</v>
      </c>
      <c r="Q10" s="57">
        <f t="shared" si="2"/>
        <v>1.1599999999999999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26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1195.4000000000001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10.7286</v>
      </c>
      <c r="N11" s="126">
        <f t="shared" si="0"/>
        <v>21.53</v>
      </c>
      <c r="O11" s="58" t="e">
        <f>(#REF!/L11)</f>
        <v>#REF!</v>
      </c>
      <c r="P11" s="59">
        <v>0.104</v>
      </c>
      <c r="Q11" s="59">
        <f t="shared" si="2"/>
        <v>1.2</v>
      </c>
      <c r="R11" s="59"/>
      <c r="S11" s="155">
        <v>0</v>
      </c>
      <c r="T11" s="149">
        <v>0</v>
      </c>
      <c r="U11" s="58">
        <f t="shared" si="1"/>
        <v>0</v>
      </c>
      <c r="V11" s="59">
        <v>18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693.95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20.258800000000001</v>
      </c>
      <c r="N12" s="127">
        <f t="shared" si="0"/>
        <v>42.74</v>
      </c>
      <c r="O12" s="57" t="e">
        <f>(#REF!/L12)</f>
        <v>#REF!</v>
      </c>
      <c r="P12" s="60">
        <v>0.75239999999999996</v>
      </c>
      <c r="Q12" s="57">
        <f t="shared" si="2"/>
        <v>8.7100000000000009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25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752.09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19.975999999999999</v>
      </c>
      <c r="N13" s="126">
        <f t="shared" si="0"/>
        <v>58.79</v>
      </c>
      <c r="O13" s="58" t="e">
        <f>(#REF!/L13)</f>
        <v>#REF!</v>
      </c>
      <c r="P13" s="59">
        <v>5.2855999999999996</v>
      </c>
      <c r="Q13" s="58">
        <f t="shared" si="2"/>
        <v>61.18</v>
      </c>
      <c r="R13" s="59">
        <v>3.0306000000000002</v>
      </c>
      <c r="S13" s="149">
        <v>0</v>
      </c>
      <c r="T13" s="149">
        <v>0</v>
      </c>
      <c r="U13" s="59">
        <f t="shared" si="1"/>
        <v>3.0306000000000002</v>
      </c>
      <c r="V13" s="59">
        <v>151</v>
      </c>
      <c r="W13" s="152"/>
      <c r="X13" s="131">
        <v>4.2843999999999998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1.81</v>
      </c>
      <c r="N14" s="127">
        <f t="shared" si="0"/>
        <v>5.81</v>
      </c>
      <c r="O14" s="57" t="e">
        <f>(#REF!/L14)</f>
        <v>#REF!</v>
      </c>
      <c r="P14" s="60">
        <v>2.6880000000000002</v>
      </c>
      <c r="Q14" s="57">
        <f>ROUND((P14*1000000/(24*3600)),2)</f>
        <v>31.11</v>
      </c>
      <c r="R14" s="60"/>
      <c r="S14" s="147">
        <v>0</v>
      </c>
      <c r="T14" s="147">
        <v>0</v>
      </c>
      <c r="U14" s="60">
        <f t="shared" si="1"/>
        <v>0</v>
      </c>
      <c r="V14" s="60">
        <v>28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84" t="s">
        <v>27</v>
      </c>
      <c r="C15" s="58" t="s">
        <v>19</v>
      </c>
      <c r="D15" s="58">
        <v>423.98</v>
      </c>
      <c r="E15" s="58"/>
      <c r="F15" s="126">
        <v>419.55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18.63</v>
      </c>
      <c r="N15" s="126">
        <f t="shared" si="0"/>
        <v>61.49</v>
      </c>
      <c r="O15" s="58" t="e">
        <f>(#REF!/L15)</f>
        <v>#REF!</v>
      </c>
      <c r="P15" s="59">
        <v>8.3574999999999999</v>
      </c>
      <c r="Q15" s="58">
        <f t="shared" si="2"/>
        <v>96.73</v>
      </c>
      <c r="R15" s="59">
        <v>3.2324999999999999</v>
      </c>
      <c r="S15" s="149">
        <v>0</v>
      </c>
      <c r="T15" s="149">
        <v>8</v>
      </c>
      <c r="U15" s="59">
        <f t="shared" si="1"/>
        <v>3.2324999999999999</v>
      </c>
      <c r="V15" s="59">
        <v>59</v>
      </c>
      <c r="W15" s="151" t="s">
        <v>136</v>
      </c>
      <c r="X15" s="131">
        <v>1.2823599999999999</v>
      </c>
      <c r="Y15" s="131">
        <f>ROUND((0.028*1000000/(1*3600)),2)</f>
        <v>7.78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1747.2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1.6140000000000001</v>
      </c>
      <c r="N16" s="127">
        <f t="shared" si="0"/>
        <v>21.1</v>
      </c>
      <c r="O16" s="57" t="e">
        <f>(#REF!/L16)</f>
        <v>#REF!</v>
      </c>
      <c r="P16" s="60">
        <v>1.6E-2</v>
      </c>
      <c r="Q16" s="57">
        <f t="shared" si="2"/>
        <v>0.19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4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452.6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4.0149999999999997</v>
      </c>
      <c r="N17" s="126">
        <f t="shared" si="0"/>
        <v>62.44</v>
      </c>
      <c r="O17" s="58" t="e">
        <f>(#REF!/L17)</f>
        <v>#REF!</v>
      </c>
      <c r="P17" s="59">
        <v>2.4350999999999998</v>
      </c>
      <c r="Q17" s="58">
        <f t="shared" si="2"/>
        <v>28.18</v>
      </c>
      <c r="R17" s="59">
        <v>2.2054999999999998</v>
      </c>
      <c r="S17" s="149">
        <v>0</v>
      </c>
      <c r="T17" s="149">
        <v>0</v>
      </c>
      <c r="U17" s="59">
        <f t="shared" si="1"/>
        <v>2.2054999999999998</v>
      </c>
      <c r="V17" s="59">
        <v>18</v>
      </c>
      <c r="W17" s="150"/>
      <c r="X17" s="131">
        <v>1.0321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248.3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2.6269999999999998</v>
      </c>
      <c r="N19" s="126">
        <f t="shared" si="0"/>
        <v>57.74</v>
      </c>
      <c r="O19" s="58" t="e">
        <f>(#REF!/L19)</f>
        <v>#REF!</v>
      </c>
      <c r="P19" s="59">
        <v>3.6377999999999999</v>
      </c>
      <c r="Q19" s="58">
        <f t="shared" si="2"/>
        <v>42.1</v>
      </c>
      <c r="R19" s="59">
        <v>3.5207999999999999</v>
      </c>
      <c r="S19" s="149">
        <v>0</v>
      </c>
      <c r="T19" s="149">
        <v>0</v>
      </c>
      <c r="U19" s="59">
        <f t="shared" si="1"/>
        <v>3.5207999999999999</v>
      </c>
      <c r="V19" s="59">
        <v>26</v>
      </c>
      <c r="W19" s="151"/>
      <c r="X19" s="131">
        <v>1.621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186.1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0.375</v>
      </c>
      <c r="N20" s="127">
        <f t="shared" si="0"/>
        <v>32.33</v>
      </c>
      <c r="O20" s="57" t="e">
        <f>(#REF!/L20)</f>
        <v>#REF!</v>
      </c>
      <c r="P20" s="60">
        <v>0.78900000000000003</v>
      </c>
      <c r="Q20" s="60">
        <f t="shared" si="2"/>
        <v>9.1300000000000008</v>
      </c>
      <c r="R20" s="60">
        <v>0.8196</v>
      </c>
      <c r="S20" s="147">
        <v>0</v>
      </c>
      <c r="T20" s="153">
        <v>0</v>
      </c>
      <c r="U20" s="60">
        <f t="shared" si="1"/>
        <v>0.8196</v>
      </c>
      <c r="V20" s="60">
        <v>24</v>
      </c>
      <c r="W20" s="154"/>
      <c r="X20" s="131">
        <v>0.25218000000000002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0.14199999999999999</v>
      </c>
      <c r="N22" s="139">
        <f t="shared" si="0"/>
        <v>36.409999999999997</v>
      </c>
      <c r="O22" s="115" t="e">
        <f>(#REF!/L22)</f>
        <v>#REF!</v>
      </c>
      <c r="P22" s="116">
        <v>0.89400000000000002</v>
      </c>
      <c r="Q22" s="115">
        <f t="shared" si="2"/>
        <v>10.35</v>
      </c>
      <c r="R22" s="116">
        <v>0.95313499999999995</v>
      </c>
      <c r="S22" s="153">
        <v>0</v>
      </c>
      <c r="T22" s="153">
        <v>0</v>
      </c>
      <c r="U22" s="116">
        <f t="shared" si="1"/>
        <v>0.95313499999999995</v>
      </c>
      <c r="V22" s="116">
        <v>8</v>
      </c>
      <c r="W22" s="156"/>
      <c r="X22" s="131">
        <v>0.75049999999999994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1020.3</v>
      </c>
      <c r="N23" s="182">
        <f t="shared" si="0"/>
        <v>28.76</v>
      </c>
      <c r="O23" s="182" t="e">
        <f>(#REF!/L23)</f>
        <v>#REF!</v>
      </c>
      <c r="P23" s="89"/>
      <c r="Q23" s="182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140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2375.33</v>
      </c>
      <c r="F5" s="129">
        <v>2326.42</v>
      </c>
      <c r="G5" s="58" t="s">
        <v>12</v>
      </c>
      <c r="H5" s="58" t="s">
        <v>13</v>
      </c>
      <c r="I5" s="59">
        <f>E5-8</f>
        <v>2367.33</v>
      </c>
      <c r="J5" s="59">
        <f>E5-2</f>
        <v>2373.33</v>
      </c>
      <c r="K5" s="59">
        <f>E5-1</f>
        <v>2374.33</v>
      </c>
      <c r="L5" s="59">
        <v>1459.49</v>
      </c>
      <c r="M5" s="126">
        <v>401.42899999999997</v>
      </c>
      <c r="N5" s="126">
        <f t="shared" ref="N5:N23" si="0">ROUND((M5/L5)*100,2)</f>
        <v>27.5</v>
      </c>
      <c r="O5" s="58" t="e">
        <f>(#REF!/L5)</f>
        <v>#REF!</v>
      </c>
      <c r="P5" s="59">
        <v>7.33</v>
      </c>
      <c r="Q5" s="58">
        <f>ROUND((P5*1000000/(24*3600)),2)</f>
        <v>84.84</v>
      </c>
      <c r="R5" s="59">
        <v>0.76990000000000003</v>
      </c>
      <c r="S5" s="149">
        <v>0</v>
      </c>
      <c r="T5" s="149">
        <v>0</v>
      </c>
      <c r="U5" s="59">
        <f t="shared" ref="U5:U22" si="1">R5+S5</f>
        <v>0.76990000000000003</v>
      </c>
      <c r="V5" s="59">
        <v>15.4</v>
      </c>
      <c r="W5" s="152"/>
      <c r="X5" s="131">
        <v>1.1180000000000001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161.5</v>
      </c>
      <c r="F6" s="127">
        <v>142.02000000000001</v>
      </c>
      <c r="G6" s="57">
        <v>171</v>
      </c>
      <c r="H6" s="57">
        <v>161</v>
      </c>
      <c r="I6" s="60">
        <f>E6-1.5</f>
        <v>160</v>
      </c>
      <c r="J6" s="60">
        <f>E6-1</f>
        <v>160.5</v>
      </c>
      <c r="K6" s="60">
        <f>E6-0.5</f>
        <v>161</v>
      </c>
      <c r="L6" s="60">
        <v>1017.8</v>
      </c>
      <c r="M6" s="127">
        <v>348.28699999999998</v>
      </c>
      <c r="N6" s="127">
        <f t="shared" si="0"/>
        <v>34.22</v>
      </c>
      <c r="O6" s="57" t="e">
        <f>(#REF!/L6)</f>
        <v>#REF!</v>
      </c>
      <c r="P6" s="60">
        <v>10.843400000000001</v>
      </c>
      <c r="Q6" s="57">
        <f>ROUND((P6*1000000/(24*3600)),2)</f>
        <v>125.5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24.4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952.48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125.92</v>
      </c>
      <c r="N7" s="126">
        <f t="shared" si="0"/>
        <v>28.2</v>
      </c>
      <c r="O7" s="58" t="e">
        <f>(#REF!/L7)</f>
        <v>#REF!</v>
      </c>
      <c r="P7" s="59">
        <v>3.0261</v>
      </c>
      <c r="Q7" s="58">
        <f t="shared" ref="Q7:Q22" si="2">ROUND((P7*1000000/(24*3600)),2)</f>
        <v>35.020000000000003</v>
      </c>
      <c r="R7" s="59">
        <v>0.29609999999999997</v>
      </c>
      <c r="S7" s="149">
        <v>0</v>
      </c>
      <c r="T7" s="149">
        <v>0</v>
      </c>
      <c r="U7" s="59">
        <f t="shared" si="1"/>
        <v>0.29609999999999997</v>
      </c>
      <c r="V7" s="59">
        <v>51</v>
      </c>
      <c r="W7" s="151"/>
      <c r="X7" s="131">
        <v>0.47749999999999998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771</v>
      </c>
      <c r="F8" s="127">
        <v>761</v>
      </c>
      <c r="G8" s="57">
        <v>775.6</v>
      </c>
      <c r="H8" s="57">
        <v>767</v>
      </c>
      <c r="I8" s="60">
        <f>E8-1.5</f>
        <v>769.5</v>
      </c>
      <c r="J8" s="60">
        <f>E8-1</f>
        <v>770</v>
      </c>
      <c r="K8" s="60">
        <f>E8-0.5</f>
        <v>770.5</v>
      </c>
      <c r="L8" s="60">
        <v>201</v>
      </c>
      <c r="M8" s="127">
        <v>51.95</v>
      </c>
      <c r="N8" s="127">
        <f t="shared" si="0"/>
        <v>25.85</v>
      </c>
      <c r="O8" s="57" t="e">
        <f>(#REF!/L8)</f>
        <v>#REF!</v>
      </c>
      <c r="P8" s="60">
        <v>3.6</v>
      </c>
      <c r="Q8" s="57">
        <f>ROUND((P8*1000000/(24*3600)),2)</f>
        <v>41.67</v>
      </c>
      <c r="R8" s="60"/>
      <c r="S8" s="147">
        <v>0</v>
      </c>
      <c r="T8" s="147">
        <v>0</v>
      </c>
      <c r="U8" s="60">
        <f t="shared" si="1"/>
        <v>0</v>
      </c>
      <c r="V8" s="60">
        <v>14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2603.6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34.5</v>
      </c>
      <c r="N9" s="126">
        <f t="shared" si="0"/>
        <v>23.14</v>
      </c>
      <c r="O9" s="58" t="e">
        <f>(#REF!/L9)</f>
        <v>#REF!</v>
      </c>
      <c r="P9" s="59">
        <v>2.4918999999999998</v>
      </c>
      <c r="Q9" s="58">
        <f t="shared" si="2"/>
        <v>28.84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31.4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1569.15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3.44</v>
      </c>
      <c r="N10" s="127">
        <f t="shared" si="0"/>
        <v>6.28</v>
      </c>
      <c r="O10" s="57" t="e">
        <f>(#REF!/L10)</f>
        <v>#REF!</v>
      </c>
      <c r="P10" s="60">
        <v>0.25</v>
      </c>
      <c r="Q10" s="57">
        <f t="shared" si="2"/>
        <v>2.89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6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1195.45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10.815300000000001</v>
      </c>
      <c r="N11" s="126">
        <f t="shared" si="0"/>
        <v>21.7</v>
      </c>
      <c r="O11" s="58" t="e">
        <f>(#REF!/L11)</f>
        <v>#REF!</v>
      </c>
      <c r="P11" s="59">
        <v>8.6699999999999999E-2</v>
      </c>
      <c r="Q11" s="59">
        <f t="shared" si="2"/>
        <v>1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694.55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21.261900000000001</v>
      </c>
      <c r="N12" s="127">
        <f t="shared" si="0"/>
        <v>44.86</v>
      </c>
      <c r="O12" s="57" t="e">
        <f>(#REF!/L12)</f>
        <v>#REF!</v>
      </c>
      <c r="P12" s="60">
        <v>1.0031000000000001</v>
      </c>
      <c r="Q12" s="57">
        <f t="shared" si="2"/>
        <v>11.61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10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752.12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20.036999999999999</v>
      </c>
      <c r="N13" s="126">
        <f t="shared" si="0"/>
        <v>58.97</v>
      </c>
      <c r="O13" s="58" t="e">
        <f>(#REF!/L13)</f>
        <v>#REF!</v>
      </c>
      <c r="P13" s="59">
        <v>3.0491000000000001</v>
      </c>
      <c r="Q13" s="58">
        <f t="shared" si="2"/>
        <v>35.29</v>
      </c>
      <c r="R13" s="59">
        <v>2.9881000000000002</v>
      </c>
      <c r="S13" s="149">
        <v>0</v>
      </c>
      <c r="T13" s="149">
        <v>0</v>
      </c>
      <c r="U13" s="59">
        <f t="shared" si="1"/>
        <v>2.9881000000000002</v>
      </c>
      <c r="V13" s="59">
        <v>30</v>
      </c>
      <c r="W13" s="152"/>
      <c r="X13" s="131">
        <v>4.2248000000000001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965.45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1.77</v>
      </c>
      <c r="N14" s="127">
        <f t="shared" si="0"/>
        <v>5.68</v>
      </c>
      <c r="O14" s="57" t="e">
        <f>(#REF!/L14)</f>
        <v>#REF!</v>
      </c>
      <c r="P14" s="60">
        <v>2.58</v>
      </c>
      <c r="Q14" s="57">
        <f>ROUND((P14*1000000/(24*3600)),2)</f>
        <v>29.86</v>
      </c>
      <c r="R14" s="60"/>
      <c r="S14" s="147">
        <v>0</v>
      </c>
      <c r="T14" s="147">
        <v>0</v>
      </c>
      <c r="U14" s="60">
        <f t="shared" si="1"/>
        <v>0</v>
      </c>
      <c r="V14" s="60">
        <v>14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84" t="s">
        <v>27</v>
      </c>
      <c r="C15" s="58" t="s">
        <v>19</v>
      </c>
      <c r="D15" s="58">
        <v>423.98</v>
      </c>
      <c r="E15" s="58"/>
      <c r="F15" s="126">
        <v>419.75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19.13</v>
      </c>
      <c r="N15" s="126">
        <f t="shared" si="0"/>
        <v>63.14</v>
      </c>
      <c r="O15" s="58" t="e">
        <f>(#REF!/L15)</f>
        <v>#REF!</v>
      </c>
      <c r="P15" s="59">
        <v>9.2535000000000007</v>
      </c>
      <c r="Q15" s="58">
        <f t="shared" si="2"/>
        <v>107.1</v>
      </c>
      <c r="R15" s="59">
        <v>4.7333999999999996</v>
      </c>
      <c r="S15" s="149">
        <v>4.0201000000000002</v>
      </c>
      <c r="T15" s="149">
        <v>29.17</v>
      </c>
      <c r="U15" s="59">
        <f t="shared" si="1"/>
        <v>8.7534999999999989</v>
      </c>
      <c r="V15" s="59">
        <v>35.200000000000003</v>
      </c>
      <c r="W15" s="151" t="s">
        <v>136</v>
      </c>
      <c r="X15" s="131">
        <v>1.8586</v>
      </c>
      <c r="Y15" s="131">
        <f>ROUND((0.028*1000000/(1*3600)),2)</f>
        <v>7.78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1747.3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1.6479999999999999</v>
      </c>
      <c r="N16" s="127">
        <f t="shared" si="0"/>
        <v>21.54</v>
      </c>
      <c r="O16" s="57" t="e">
        <f>(#REF!/L16)</f>
        <v>#REF!</v>
      </c>
      <c r="P16" s="60">
        <v>3.4000000000000002E-2</v>
      </c>
      <c r="Q16" s="57">
        <f t="shared" si="2"/>
        <v>0.39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452.05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3.734</v>
      </c>
      <c r="N17" s="126">
        <f t="shared" si="0"/>
        <v>58.07</v>
      </c>
      <c r="O17" s="58" t="e">
        <f>(#REF!/L17)</f>
        <v>#REF!</v>
      </c>
      <c r="P17" s="59">
        <v>2.7606999999999999</v>
      </c>
      <c r="Q17" s="58">
        <f t="shared" si="2"/>
        <v>31.95</v>
      </c>
      <c r="R17" s="59">
        <v>3.0413000000000001</v>
      </c>
      <c r="S17" s="149">
        <v>0</v>
      </c>
      <c r="T17" s="149">
        <v>0</v>
      </c>
      <c r="U17" s="59">
        <f t="shared" si="1"/>
        <v>3.0413000000000001</v>
      </c>
      <c r="V17" s="59">
        <v>12</v>
      </c>
      <c r="W17" s="150"/>
      <c r="X17" s="131">
        <v>1.4295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</v>
      </c>
      <c r="N19" s="126">
        <f t="shared" si="0"/>
        <v>63.74</v>
      </c>
      <c r="O19" s="58" t="e">
        <f>(#REF!/L19)</f>
        <v>#REF!</v>
      </c>
      <c r="P19" s="59">
        <v>5.0319000000000003</v>
      </c>
      <c r="Q19" s="58">
        <f t="shared" si="2"/>
        <v>58.24</v>
      </c>
      <c r="R19" s="59">
        <v>4.7588999999999997</v>
      </c>
      <c r="S19" s="149">
        <v>0</v>
      </c>
      <c r="T19" s="149">
        <v>0</v>
      </c>
      <c r="U19" s="59">
        <f t="shared" si="1"/>
        <v>4.7588999999999997</v>
      </c>
      <c r="V19" s="59">
        <v>14</v>
      </c>
      <c r="W19" s="151"/>
      <c r="X19" s="131">
        <v>2.1909999999999998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185.7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0.33600000000000002</v>
      </c>
      <c r="N20" s="127">
        <f t="shared" si="0"/>
        <v>28.97</v>
      </c>
      <c r="O20" s="57" t="e">
        <f>(#REF!/L20)</f>
        <v>#REF!</v>
      </c>
      <c r="P20" s="60">
        <v>0.60340000000000005</v>
      </c>
      <c r="Q20" s="60">
        <f t="shared" si="2"/>
        <v>6.98</v>
      </c>
      <c r="R20" s="60">
        <v>0.72523749999999998</v>
      </c>
      <c r="S20" s="147">
        <v>0</v>
      </c>
      <c r="T20" s="153">
        <v>0</v>
      </c>
      <c r="U20" s="60">
        <f t="shared" si="1"/>
        <v>0.72523749999999998</v>
      </c>
      <c r="V20" s="60">
        <v>21</v>
      </c>
      <c r="W20" s="154"/>
      <c r="X20" s="131">
        <v>0.22314999999999999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0.14199999999999999</v>
      </c>
      <c r="N22" s="139">
        <f t="shared" si="0"/>
        <v>36.409999999999997</v>
      </c>
      <c r="O22" s="115" t="e">
        <f>(#REF!/L22)</f>
        <v>#REF!</v>
      </c>
      <c r="P22" s="116">
        <v>1.2986</v>
      </c>
      <c r="Q22" s="115">
        <f t="shared" si="2"/>
        <v>15.03</v>
      </c>
      <c r="R22" s="116">
        <v>1.298575</v>
      </c>
      <c r="S22" s="153">
        <v>0</v>
      </c>
      <c r="T22" s="153">
        <v>0</v>
      </c>
      <c r="U22" s="116">
        <f t="shared" si="1"/>
        <v>1.298575</v>
      </c>
      <c r="V22" s="116">
        <v>6.8</v>
      </c>
      <c r="W22" s="156"/>
      <c r="X22" s="131">
        <v>1.0225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1048.21</v>
      </c>
      <c r="N23" s="183">
        <f t="shared" si="0"/>
        <v>29.55</v>
      </c>
      <c r="O23" s="183" t="e">
        <f>(#REF!/L23)</f>
        <v>#REF!</v>
      </c>
      <c r="P23" s="89"/>
      <c r="Q23" s="183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140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142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2327.1999999999998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409.76100000000002</v>
      </c>
      <c r="N5" s="126">
        <f t="shared" ref="N5:N23" si="0">ROUND((M5/L5)*100,2)</f>
        <v>28.08</v>
      </c>
      <c r="O5" s="58" t="e">
        <f>(#REF!/L5)</f>
        <v>#REF!</v>
      </c>
      <c r="P5" s="59">
        <v>9.9450000000000003</v>
      </c>
      <c r="Q5" s="58">
        <f>ROUND((P5*1000000/(24*3600)),2)</f>
        <v>115.1</v>
      </c>
      <c r="R5" s="59">
        <v>1.4573</v>
      </c>
      <c r="S5" s="149">
        <v>0</v>
      </c>
      <c r="T5" s="149">
        <v>0</v>
      </c>
      <c r="U5" s="59">
        <f t="shared" ref="U5:U22" si="1">R5+S5</f>
        <v>1.4573</v>
      </c>
      <c r="V5" s="59">
        <v>18.2</v>
      </c>
      <c r="W5" s="152"/>
      <c r="X5" s="131">
        <v>2.117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142.5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357.57499999999999</v>
      </c>
      <c r="N6" s="127">
        <f t="shared" si="0"/>
        <v>35.130000000000003</v>
      </c>
      <c r="O6" s="57" t="e">
        <f>(#REF!/L6)</f>
        <v>#REF!</v>
      </c>
      <c r="P6" s="60">
        <v>9.9725999999999999</v>
      </c>
      <c r="Q6" s="57">
        <f>ROUND((P6*1000000/(24*3600)),2)</f>
        <v>115.42</v>
      </c>
      <c r="R6" s="60">
        <v>7.6528</v>
      </c>
      <c r="S6" s="147">
        <v>0</v>
      </c>
      <c r="T6" s="147">
        <v>0</v>
      </c>
      <c r="U6" s="60">
        <f t="shared" si="1"/>
        <v>7.6528</v>
      </c>
      <c r="V6" s="60">
        <v>20.6</v>
      </c>
      <c r="W6" s="148"/>
      <c r="X6" s="131">
        <v>0.16289999999999999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953.06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129.69</v>
      </c>
      <c r="N7" s="126">
        <f t="shared" si="0"/>
        <v>29.05</v>
      </c>
      <c r="O7" s="58" t="e">
        <f>(#REF!/L7)</f>
        <v>#REF!</v>
      </c>
      <c r="P7" s="59">
        <v>4.2629000000000001</v>
      </c>
      <c r="Q7" s="58">
        <f t="shared" ref="Q7:Q22" si="2">ROUND((P7*1000000/(24*3600)),2)</f>
        <v>49.34</v>
      </c>
      <c r="R7" s="59">
        <v>0.4929</v>
      </c>
      <c r="S7" s="149">
        <v>0</v>
      </c>
      <c r="T7" s="149">
        <v>0</v>
      </c>
      <c r="U7" s="59">
        <f t="shared" si="1"/>
        <v>0.4929</v>
      </c>
      <c r="V7" s="59">
        <v>57</v>
      </c>
      <c r="W7" s="151"/>
      <c r="X7" s="131">
        <v>0.79500000000000004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761.25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53.95</v>
      </c>
      <c r="N8" s="127">
        <f t="shared" si="0"/>
        <v>26.84</v>
      </c>
      <c r="O8" s="57" t="e">
        <f>(#REF!/L8)</f>
        <v>#REF!</v>
      </c>
      <c r="P8" s="60">
        <v>2</v>
      </c>
      <c r="Q8" s="57">
        <f>ROUND((P8*1000000/(24*3600)),2)</f>
        <v>23.15</v>
      </c>
      <c r="R8" s="60"/>
      <c r="S8" s="147">
        <v>0</v>
      </c>
      <c r="T8" s="147">
        <v>0</v>
      </c>
      <c r="U8" s="60">
        <f t="shared" si="1"/>
        <v>0</v>
      </c>
      <c r="V8" s="60">
        <v>5.2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2605.6999999999998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37.119999999999997</v>
      </c>
      <c r="N9" s="126">
        <f t="shared" si="0"/>
        <v>24.9</v>
      </c>
      <c r="O9" s="58" t="e">
        <f>(#REF!/L9)</f>
        <v>#REF!</v>
      </c>
      <c r="P9" s="59">
        <v>2.6164999999999998</v>
      </c>
      <c r="Q9" s="58">
        <f t="shared" si="2"/>
        <v>30.28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59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1569.3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3.59</v>
      </c>
      <c r="N10" s="127">
        <f t="shared" si="0"/>
        <v>6.55</v>
      </c>
      <c r="O10" s="57" t="e">
        <f>(#REF!/L10)</f>
        <v>#REF!</v>
      </c>
      <c r="P10" s="60">
        <v>0.15</v>
      </c>
      <c r="Q10" s="57">
        <f t="shared" si="2"/>
        <v>1.74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13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1195.51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10.9194</v>
      </c>
      <c r="N11" s="126">
        <f t="shared" si="0"/>
        <v>21.91</v>
      </c>
      <c r="O11" s="58" t="e">
        <f>(#REF!/L11)</f>
        <v>#REF!</v>
      </c>
      <c r="P11" s="59">
        <v>0.1041</v>
      </c>
      <c r="Q11" s="59">
        <f t="shared" si="2"/>
        <v>1.2</v>
      </c>
      <c r="R11" s="59"/>
      <c r="S11" s="155">
        <v>0</v>
      </c>
      <c r="T11" s="149">
        <v>0</v>
      </c>
      <c r="U11" s="58">
        <f t="shared" si="1"/>
        <v>0</v>
      </c>
      <c r="V11" s="59">
        <v>9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694.4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21.011099999999999</v>
      </c>
      <c r="N12" s="127">
        <f t="shared" si="0"/>
        <v>44.33</v>
      </c>
      <c r="O12" s="57" t="e">
        <f>(#REF!/L12)</f>
        <v>#REF!</v>
      </c>
      <c r="P12" s="60">
        <v>0.39029999999999998</v>
      </c>
      <c r="Q12" s="57">
        <f t="shared" si="2"/>
        <v>4.5199999999999996</v>
      </c>
      <c r="R12" s="60">
        <v>0.64112999999999998</v>
      </c>
      <c r="S12" s="147">
        <v>0</v>
      </c>
      <c r="T12" s="147">
        <v>0</v>
      </c>
      <c r="U12" s="60">
        <f>R12+S12</f>
        <v>0.64112999999999998</v>
      </c>
      <c r="V12" s="60">
        <v>11</v>
      </c>
      <c r="W12" s="150"/>
      <c r="X12" s="131">
        <v>0.26329999999999998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751.3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18.39</v>
      </c>
      <c r="N13" s="126">
        <f t="shared" si="0"/>
        <v>54.12</v>
      </c>
      <c r="O13" s="58" t="e">
        <f>(#REF!/L13)</f>
        <v>#REF!</v>
      </c>
      <c r="P13" s="59">
        <v>1.6095999999999999</v>
      </c>
      <c r="Q13" s="58">
        <f t="shared" si="2"/>
        <v>18.63</v>
      </c>
      <c r="R13" s="59">
        <v>3.2566000000000002</v>
      </c>
      <c r="S13" s="149">
        <v>0</v>
      </c>
      <c r="T13" s="149">
        <v>0</v>
      </c>
      <c r="U13" s="59">
        <f t="shared" si="1"/>
        <v>3.2566000000000002</v>
      </c>
      <c r="V13" s="59">
        <v>24</v>
      </c>
      <c r="W13" s="152"/>
      <c r="X13" s="131">
        <v>4.6040999999999999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1.81</v>
      </c>
      <c r="N14" s="127">
        <f t="shared" si="0"/>
        <v>5.81</v>
      </c>
      <c r="O14" s="57" t="e">
        <f>(#REF!/L14)</f>
        <v>#REF!</v>
      </c>
      <c r="P14" s="60">
        <v>2.61</v>
      </c>
      <c r="Q14" s="57">
        <f>ROUND((P14*1000000/(24*3600)),2)</f>
        <v>30.21</v>
      </c>
      <c r="R14" s="60"/>
      <c r="S14" s="147">
        <v>0</v>
      </c>
      <c r="T14" s="147">
        <v>0</v>
      </c>
      <c r="U14" s="60">
        <f t="shared" si="1"/>
        <v>0</v>
      </c>
      <c r="V14" s="60">
        <v>20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84" t="s">
        <v>27</v>
      </c>
      <c r="C15" s="58" t="s">
        <v>19</v>
      </c>
      <c r="D15" s="58">
        <v>423.98</v>
      </c>
      <c r="E15" s="58"/>
      <c r="F15" s="126">
        <v>419.8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19.25</v>
      </c>
      <c r="N15" s="126">
        <f t="shared" si="0"/>
        <v>63.53</v>
      </c>
      <c r="O15" s="58" t="e">
        <f>(#REF!/L15)</f>
        <v>#REF!</v>
      </c>
      <c r="P15" s="59">
        <v>7.7670000000000003</v>
      </c>
      <c r="Q15" s="58">
        <f t="shared" si="2"/>
        <v>89.9</v>
      </c>
      <c r="R15" s="59">
        <v>4.7809999999999997</v>
      </c>
      <c r="S15" s="149">
        <v>2.8690000000000002</v>
      </c>
      <c r="T15" s="149">
        <f>Y15</f>
        <v>35.97</v>
      </c>
      <c r="U15" s="59">
        <f t="shared" si="1"/>
        <v>7.65</v>
      </c>
      <c r="V15" s="59">
        <v>36.200000000000003</v>
      </c>
      <c r="W15" s="151" t="s">
        <v>136</v>
      </c>
      <c r="X15" s="131">
        <v>1.8786099999999999</v>
      </c>
      <c r="Y15" s="131">
        <f>ROUND((0.1295*1000000/(1*3600)),2)</f>
        <v>35.97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1747.4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1.6839999999999999</v>
      </c>
      <c r="N16" s="127">
        <f t="shared" si="0"/>
        <v>22.01</v>
      </c>
      <c r="O16" s="57" t="e">
        <f>(#REF!/L16)</f>
        <v>#REF!</v>
      </c>
      <c r="P16" s="60">
        <v>3.5999999999999997E-2</v>
      </c>
      <c r="Q16" s="57">
        <f t="shared" si="2"/>
        <v>0.42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7.6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452.95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4.1929999999999996</v>
      </c>
      <c r="N17" s="126">
        <f t="shared" si="0"/>
        <v>65.209999999999994</v>
      </c>
      <c r="O17" s="58" t="e">
        <f>(#REF!/L17)</f>
        <v>#REF!</v>
      </c>
      <c r="P17" s="59">
        <v>3.3235000000000001</v>
      </c>
      <c r="Q17" s="58">
        <f t="shared" si="2"/>
        <v>38.47</v>
      </c>
      <c r="R17" s="59">
        <v>2.8643000000000001</v>
      </c>
      <c r="S17" s="149">
        <v>0</v>
      </c>
      <c r="T17" s="149">
        <v>0</v>
      </c>
      <c r="U17" s="59">
        <f t="shared" si="1"/>
        <v>2.8643000000000001</v>
      </c>
      <c r="V17" s="59">
        <v>8</v>
      </c>
      <c r="W17" s="150"/>
      <c r="X17" s="131">
        <v>1.3537999999999999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248.8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2.8220000000000001</v>
      </c>
      <c r="N19" s="126">
        <f t="shared" si="0"/>
        <v>62.02</v>
      </c>
      <c r="O19" s="58" t="e">
        <f>(#REF!/L19)</f>
        <v>#REF!</v>
      </c>
      <c r="P19" s="59">
        <v>5.0023</v>
      </c>
      <c r="Q19" s="58">
        <f t="shared" si="2"/>
        <v>57.9</v>
      </c>
      <c r="R19" s="59">
        <v>5.0803000000000003</v>
      </c>
      <c r="S19" s="149">
        <v>0</v>
      </c>
      <c r="T19" s="149">
        <v>0</v>
      </c>
      <c r="U19" s="59">
        <f t="shared" si="1"/>
        <v>5.0803000000000003</v>
      </c>
      <c r="V19" s="59">
        <v>14</v>
      </c>
      <c r="W19" s="151"/>
      <c r="X19" s="131">
        <v>2.339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185.6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0.32700000000000001</v>
      </c>
      <c r="N20" s="127">
        <f t="shared" si="0"/>
        <v>28.19</v>
      </c>
      <c r="O20" s="57" t="e">
        <f>(#REF!/L20)</f>
        <v>#REF!</v>
      </c>
      <c r="P20" s="60">
        <v>1.2202</v>
      </c>
      <c r="Q20" s="60">
        <f t="shared" si="2"/>
        <v>14.12</v>
      </c>
      <c r="R20" s="60">
        <v>0.95809999999999995</v>
      </c>
      <c r="S20" s="147">
        <v>0</v>
      </c>
      <c r="T20" s="153">
        <v>0</v>
      </c>
      <c r="U20" s="60">
        <f t="shared" si="1"/>
        <v>0.95809999999999995</v>
      </c>
      <c r="V20" s="60">
        <v>38</v>
      </c>
      <c r="W20" s="154"/>
      <c r="X20" s="131">
        <v>0.29480000000000001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846.55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0.13</v>
      </c>
      <c r="N22" s="139">
        <f t="shared" si="0"/>
        <v>33.33</v>
      </c>
      <c r="O22" s="115" t="e">
        <f>(#REF!/L22)</f>
        <v>#REF!</v>
      </c>
      <c r="P22" s="116">
        <v>1.2065999999999999</v>
      </c>
      <c r="Q22" s="115">
        <f t="shared" si="2"/>
        <v>13.97</v>
      </c>
      <c r="R22" s="116">
        <v>1.2184379999999999</v>
      </c>
      <c r="S22" s="153">
        <v>0</v>
      </c>
      <c r="T22" s="153">
        <v>0</v>
      </c>
      <c r="U22" s="116">
        <f t="shared" si="1"/>
        <v>1.2184379999999999</v>
      </c>
      <c r="V22" s="116">
        <v>4.2</v>
      </c>
      <c r="W22" s="156"/>
      <c r="X22" s="131">
        <v>0.95940000000000003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1073.1300000000001</v>
      </c>
      <c r="N23" s="185">
        <f t="shared" si="0"/>
        <v>30.25</v>
      </c>
      <c r="O23" s="185" t="e">
        <f>(#REF!/L23)</f>
        <v>#REF!</v>
      </c>
      <c r="P23" s="89"/>
      <c r="Q23" s="185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140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2327.6999999999998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415.113</v>
      </c>
      <c r="N5" s="126">
        <f t="shared" ref="N5:N23" si="0">ROUND((M5/L5)*100,2)</f>
        <v>28.44</v>
      </c>
      <c r="O5" s="58" t="e">
        <f>(#REF!/L5)</f>
        <v>#REF!</v>
      </c>
      <c r="P5" s="59">
        <v>7.9909999999999997</v>
      </c>
      <c r="Q5" s="58">
        <f>ROUND((P5*1000000/(24*3600)),2)</f>
        <v>92.49</v>
      </c>
      <c r="R5" s="59">
        <v>2.4838</v>
      </c>
      <c r="S5" s="149">
        <v>0</v>
      </c>
      <c r="T5" s="149">
        <v>0</v>
      </c>
      <c r="U5" s="59">
        <f t="shared" ref="U5:U22" si="1">R5+S5</f>
        <v>2.4838</v>
      </c>
      <c r="V5" s="59">
        <v>8</v>
      </c>
      <c r="W5" s="152"/>
      <c r="X5" s="131">
        <v>3.609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142.80000000000001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363.38</v>
      </c>
      <c r="N6" s="127">
        <f t="shared" si="0"/>
        <v>35.700000000000003</v>
      </c>
      <c r="O6" s="57" t="e">
        <f>(#REF!/L6)</f>
        <v>#REF!</v>
      </c>
      <c r="P6" s="60">
        <v>7.0593000000000004</v>
      </c>
      <c r="Q6" s="57">
        <f>ROUND((P6*1000000/(24*3600)),2)</f>
        <v>81.7</v>
      </c>
      <c r="R6" s="60">
        <v>1.244</v>
      </c>
      <c r="S6" s="147">
        <v>0</v>
      </c>
      <c r="T6" s="147">
        <v>0</v>
      </c>
      <c r="U6" s="60">
        <f t="shared" si="1"/>
        <v>1.244</v>
      </c>
      <c r="V6" s="60">
        <v>6.4</v>
      </c>
      <c r="W6" s="148"/>
      <c r="X6" s="131">
        <v>0.30740000000000001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953.43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132.1</v>
      </c>
      <c r="N7" s="126">
        <f t="shared" si="0"/>
        <v>29.59</v>
      </c>
      <c r="O7" s="58" t="e">
        <f>(#REF!/L7)</f>
        <v>#REF!</v>
      </c>
      <c r="P7" s="59">
        <v>3.0796000000000001</v>
      </c>
      <c r="Q7" s="58">
        <f t="shared" ref="Q7:Q22" si="2">ROUND((P7*1000000/(24*3600)),2)</f>
        <v>35.64</v>
      </c>
      <c r="R7" s="59">
        <v>0.66900000000000004</v>
      </c>
      <c r="S7" s="149">
        <v>0</v>
      </c>
      <c r="T7" s="149">
        <v>0</v>
      </c>
      <c r="U7" s="59">
        <f t="shared" si="1"/>
        <v>0.66900000000000004</v>
      </c>
      <c r="V7" s="59">
        <v>11</v>
      </c>
      <c r="W7" s="151"/>
      <c r="X7" s="131">
        <v>1.08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761.4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54.95</v>
      </c>
      <c r="N8" s="127">
        <f t="shared" si="0"/>
        <v>27.34</v>
      </c>
      <c r="O8" s="57" t="e">
        <f>(#REF!/L8)</f>
        <v>#REF!</v>
      </c>
      <c r="P8" s="60">
        <v>1</v>
      </c>
      <c r="Q8" s="57">
        <f>ROUND((P8*1000000/(24*3600)),2)</f>
        <v>11.57</v>
      </c>
      <c r="R8" s="60"/>
      <c r="S8" s="147">
        <v>0</v>
      </c>
      <c r="T8" s="147">
        <v>0</v>
      </c>
      <c r="U8" s="60">
        <f t="shared" si="1"/>
        <v>0</v>
      </c>
      <c r="V8" s="60">
        <v>0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2607.1999999999998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38.99</v>
      </c>
      <c r="N9" s="126">
        <f t="shared" si="0"/>
        <v>26.15</v>
      </c>
      <c r="O9" s="58" t="e">
        <f>(#REF!/L9)</f>
        <v>#REF!</v>
      </c>
      <c r="P9" s="59">
        <v>1.8689</v>
      </c>
      <c r="Q9" s="58">
        <f t="shared" si="2"/>
        <v>21.63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17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1569.55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3.84</v>
      </c>
      <c r="N10" s="127">
        <f t="shared" si="0"/>
        <v>7.01</v>
      </c>
      <c r="O10" s="57" t="e">
        <f>(#REF!/L10)</f>
        <v>#REF!</v>
      </c>
      <c r="P10" s="60">
        <v>0.25</v>
      </c>
      <c r="Q10" s="57">
        <f t="shared" si="2"/>
        <v>2.89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0.4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1195.55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10.988799999999999</v>
      </c>
      <c r="N11" s="126">
        <f t="shared" si="0"/>
        <v>22.05</v>
      </c>
      <c r="O11" s="58" t="e">
        <f>(#REF!/L11)</f>
        <v>#REF!</v>
      </c>
      <c r="P11" s="59">
        <v>6.9400000000000003E-2</v>
      </c>
      <c r="Q11" s="59">
        <f t="shared" si="2"/>
        <v>0.8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694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20.342400000000001</v>
      </c>
      <c r="N12" s="127">
        <f t="shared" si="0"/>
        <v>42.92</v>
      </c>
      <c r="O12" s="57" t="e">
        <f>(#REF!/L12)</f>
        <v>#REF!</v>
      </c>
      <c r="P12" s="60">
        <v>0.58699999999999997</v>
      </c>
      <c r="Q12" s="57">
        <f t="shared" si="2"/>
        <v>6.79</v>
      </c>
      <c r="R12" s="60">
        <v>1.2557199999999999</v>
      </c>
      <c r="S12" s="147">
        <v>0</v>
      </c>
      <c r="T12" s="147">
        <v>0</v>
      </c>
      <c r="U12" s="60">
        <f>R12+S12</f>
        <v>1.2557199999999999</v>
      </c>
      <c r="V12" s="60">
        <v>5</v>
      </c>
      <c r="W12" s="150"/>
      <c r="X12" s="131">
        <v>0.51570000000000005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750.14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16.074000000000002</v>
      </c>
      <c r="N13" s="126">
        <f t="shared" si="0"/>
        <v>47.3</v>
      </c>
      <c r="O13" s="58" t="e">
        <f>(#REF!/L13)</f>
        <v>#REF!</v>
      </c>
      <c r="P13" s="59">
        <v>0.82820000000000005</v>
      </c>
      <c r="Q13" s="58">
        <f t="shared" si="2"/>
        <v>9.59</v>
      </c>
      <c r="R13" s="59">
        <v>3.1442000000000001</v>
      </c>
      <c r="S13" s="149">
        <v>0</v>
      </c>
      <c r="T13" s="149">
        <v>0</v>
      </c>
      <c r="U13" s="59">
        <f t="shared" si="1"/>
        <v>3.1442000000000001</v>
      </c>
      <c r="V13" s="59">
        <v>5</v>
      </c>
      <c r="W13" s="152"/>
      <c r="X13" s="131">
        <v>4.4448999999999996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965.4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1.73</v>
      </c>
      <c r="N14" s="127">
        <f t="shared" si="0"/>
        <v>5.55</v>
      </c>
      <c r="O14" s="57" t="e">
        <f>(#REF!/L14)</f>
        <v>#REF!</v>
      </c>
      <c r="P14" s="60">
        <v>2.4060999999999999</v>
      </c>
      <c r="Q14" s="57">
        <f>ROUND((P14*1000000/(24*3600)),2)</f>
        <v>27.85</v>
      </c>
      <c r="R14" s="60"/>
      <c r="S14" s="147">
        <v>0</v>
      </c>
      <c r="T14" s="147">
        <v>0</v>
      </c>
      <c r="U14" s="60">
        <f t="shared" si="1"/>
        <v>0</v>
      </c>
      <c r="V14" s="60">
        <v>8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84" t="s">
        <v>27</v>
      </c>
      <c r="C15" s="58" t="s">
        <v>19</v>
      </c>
      <c r="D15" s="58">
        <v>423.98</v>
      </c>
      <c r="E15" s="58"/>
      <c r="F15" s="126">
        <v>419.5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18.5</v>
      </c>
      <c r="N15" s="126">
        <f t="shared" si="0"/>
        <v>61.06</v>
      </c>
      <c r="O15" s="58" t="e">
        <f>(#REF!/L15)</f>
        <v>#REF!</v>
      </c>
      <c r="P15" s="59">
        <v>6.0278999999999998</v>
      </c>
      <c r="Q15" s="58">
        <f t="shared" si="2"/>
        <v>69.77</v>
      </c>
      <c r="R15" s="59">
        <v>4.79</v>
      </c>
      <c r="S15" s="149">
        <v>1.9886999999999999</v>
      </c>
      <c r="T15" s="149">
        <f>Y15</f>
        <v>7.78</v>
      </c>
      <c r="U15" s="59">
        <f t="shared" si="1"/>
        <v>6.7786999999999997</v>
      </c>
      <c r="V15" s="59">
        <v>13</v>
      </c>
      <c r="W15" s="151" t="s">
        <v>136</v>
      </c>
      <c r="X15" s="131">
        <v>1.88182</v>
      </c>
      <c r="Y15" s="131">
        <f>ROUND((0.028*1000000/(1*3600)),2)</f>
        <v>7.78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1.72</v>
      </c>
      <c r="N16" s="127">
        <f t="shared" si="0"/>
        <v>22.48</v>
      </c>
      <c r="O16" s="57" t="e">
        <f>(#REF!/L16)</f>
        <v>#REF!</v>
      </c>
      <c r="P16" s="60">
        <v>3.5999999999999997E-2</v>
      </c>
      <c r="Q16" s="57">
        <f t="shared" si="2"/>
        <v>0.42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1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452.9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4.1680000000000001</v>
      </c>
      <c r="N17" s="126">
        <f t="shared" si="0"/>
        <v>64.819999999999993</v>
      </c>
      <c r="O17" s="58" t="e">
        <f>(#REF!/L17)</f>
        <v>#REF!</v>
      </c>
      <c r="P17" s="59">
        <v>3.4727999999999999</v>
      </c>
      <c r="Q17" s="58">
        <f t="shared" si="2"/>
        <v>40.19</v>
      </c>
      <c r="R17" s="59">
        <v>3.4983</v>
      </c>
      <c r="S17" s="149">
        <v>0</v>
      </c>
      <c r="T17" s="149">
        <v>0</v>
      </c>
      <c r="U17" s="59">
        <f t="shared" si="1"/>
        <v>3.4983</v>
      </c>
      <c r="V17" s="59">
        <v>5</v>
      </c>
      <c r="W17" s="150"/>
      <c r="X17" s="131">
        <v>1.6422000000000001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247.6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2.3860000000000001</v>
      </c>
      <c r="N19" s="126">
        <f t="shared" si="0"/>
        <v>52.44</v>
      </c>
      <c r="O19" s="58" t="e">
        <f>(#REF!/L19)</f>
        <v>#REF!</v>
      </c>
      <c r="P19" s="59">
        <v>5.4196999999999997</v>
      </c>
      <c r="Q19" s="58">
        <f t="shared" si="2"/>
        <v>62.73</v>
      </c>
      <c r="R19" s="59">
        <v>5.8556999999999997</v>
      </c>
      <c r="S19" s="149">
        <v>0</v>
      </c>
      <c r="T19" s="149">
        <v>0</v>
      </c>
      <c r="U19" s="59">
        <f t="shared" si="1"/>
        <v>5.8556999999999997</v>
      </c>
      <c r="V19" s="59">
        <v>10</v>
      </c>
      <c r="W19" s="151"/>
      <c r="X19" s="131">
        <v>2.6960000000000002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185.85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0.35099999999999998</v>
      </c>
      <c r="N20" s="127">
        <f t="shared" si="0"/>
        <v>30.26</v>
      </c>
      <c r="O20" s="57" t="e">
        <f>(#REF!/L20)</f>
        <v>#REF!</v>
      </c>
      <c r="P20" s="60">
        <v>1.2088000000000001</v>
      </c>
      <c r="Q20" s="60">
        <f t="shared" si="2"/>
        <v>13.99</v>
      </c>
      <c r="R20" s="60">
        <v>1.1060000000000001</v>
      </c>
      <c r="S20" s="147">
        <v>0</v>
      </c>
      <c r="T20" s="153">
        <v>0</v>
      </c>
      <c r="U20" s="60">
        <f t="shared" si="1"/>
        <v>1.1060000000000001</v>
      </c>
      <c r="V20" s="60">
        <v>9</v>
      </c>
      <c r="W20" s="154"/>
      <c r="X20" s="131">
        <v>0.34032000000000001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0.189</v>
      </c>
      <c r="N22" s="139">
        <f t="shared" si="0"/>
        <v>48.46</v>
      </c>
      <c r="O22" s="115" t="e">
        <f>(#REF!/L22)</f>
        <v>#REF!</v>
      </c>
      <c r="P22" s="116">
        <v>1.2951999999999999</v>
      </c>
      <c r="Q22" s="115">
        <f t="shared" si="2"/>
        <v>14.99</v>
      </c>
      <c r="R22" s="116">
        <v>1.2360910000000001</v>
      </c>
      <c r="S22" s="153">
        <v>0</v>
      </c>
      <c r="T22" s="153">
        <v>0</v>
      </c>
      <c r="U22" s="116">
        <f t="shared" si="1"/>
        <v>1.2360910000000001</v>
      </c>
      <c r="V22" s="116">
        <v>1.4</v>
      </c>
      <c r="W22" s="156"/>
      <c r="X22" s="131">
        <v>0.97330000000000005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1085.73</v>
      </c>
      <c r="N23" s="185">
        <f t="shared" si="0"/>
        <v>30.61</v>
      </c>
      <c r="O23" s="185" t="e">
        <f>(#REF!/L23)</f>
        <v>#REF!</v>
      </c>
      <c r="P23" s="89"/>
      <c r="Q23" s="185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140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F3" sqref="F3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2328.12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419.60500000000002</v>
      </c>
      <c r="N5" s="126">
        <f t="shared" ref="N5:N23" si="0">ROUND((M5/L5)*100,2)</f>
        <v>28.75</v>
      </c>
      <c r="O5" s="58" t="e">
        <f>(#REF!/L5)</f>
        <v>#REF!</v>
      </c>
      <c r="P5" s="59">
        <v>6.41</v>
      </c>
      <c r="Q5" s="58">
        <f>ROUND((P5*1000000/(24*3600)),2)</f>
        <v>74.19</v>
      </c>
      <c r="R5" s="59">
        <v>1.7628999999999999</v>
      </c>
      <c r="S5" s="149">
        <v>0</v>
      </c>
      <c r="T5" s="149">
        <v>0</v>
      </c>
      <c r="U5" s="59">
        <f t="shared" ref="U5:U22" si="1">R5+S5</f>
        <v>1.7628999999999999</v>
      </c>
      <c r="V5" s="59">
        <v>5</v>
      </c>
      <c r="W5" s="152"/>
      <c r="X5" s="131">
        <v>2.5619999999999998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142.99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367.05599999999998</v>
      </c>
      <c r="N6" s="127">
        <f t="shared" si="0"/>
        <v>36.06</v>
      </c>
      <c r="O6" s="57" t="e">
        <f>(#REF!/L6)</f>
        <v>#REF!</v>
      </c>
      <c r="P6" s="60">
        <v>4.2114000000000003</v>
      </c>
      <c r="Q6" s="57">
        <f>ROUND((P6*1000000/(24*3600)),2)</f>
        <v>48.74</v>
      </c>
      <c r="R6" s="60">
        <v>0.53120000000000001</v>
      </c>
      <c r="S6" s="147">
        <v>0</v>
      </c>
      <c r="T6" s="147">
        <v>0</v>
      </c>
      <c r="U6" s="60">
        <f t="shared" si="1"/>
        <v>0.53120000000000001</v>
      </c>
      <c r="V6" s="60">
        <v>3</v>
      </c>
      <c r="W6" s="148"/>
      <c r="X6" s="131">
        <v>0.13150000000000001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953.79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134.44</v>
      </c>
      <c r="N7" s="126">
        <f t="shared" si="0"/>
        <v>30.11</v>
      </c>
      <c r="O7" s="58" t="e">
        <f>(#REF!/L7)</f>
        <v>#REF!</v>
      </c>
      <c r="P7" s="59">
        <v>2.7105000000000001</v>
      </c>
      <c r="Q7" s="58">
        <f t="shared" ref="Q7:Q22" si="2">ROUND((P7*1000000/(24*3600)),2)</f>
        <v>31.37</v>
      </c>
      <c r="R7" s="59">
        <v>0.3705</v>
      </c>
      <c r="S7" s="149">
        <v>0</v>
      </c>
      <c r="T7" s="149">
        <v>0</v>
      </c>
      <c r="U7" s="59">
        <f t="shared" si="1"/>
        <v>0.3705</v>
      </c>
      <c r="V7" s="59">
        <v>15</v>
      </c>
      <c r="W7" s="151"/>
      <c r="X7" s="131">
        <v>0.59750000000000003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55.75</v>
      </c>
      <c r="N8" s="127">
        <f t="shared" si="0"/>
        <v>27.74</v>
      </c>
      <c r="O8" s="57" t="e">
        <f>(#REF!/L8)</f>
        <v>#REF!</v>
      </c>
      <c r="P8" s="60">
        <v>0.8</v>
      </c>
      <c r="Q8" s="57">
        <f>ROUND((P8*1000000/(24*3600)),2)</f>
        <v>9.26</v>
      </c>
      <c r="R8" s="60"/>
      <c r="S8" s="147">
        <v>0</v>
      </c>
      <c r="T8" s="147">
        <v>0</v>
      </c>
      <c r="U8" s="60">
        <f t="shared" si="1"/>
        <v>0</v>
      </c>
      <c r="V8" s="60">
        <v>0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2608.6999999999998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40.880000000000003</v>
      </c>
      <c r="N9" s="126">
        <f t="shared" si="0"/>
        <v>27.42</v>
      </c>
      <c r="O9" s="58" t="e">
        <f>(#REF!/L9)</f>
        <v>#REF!</v>
      </c>
      <c r="P9" s="59">
        <v>1.8888</v>
      </c>
      <c r="Q9" s="58">
        <f t="shared" si="2"/>
        <v>21.86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6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1569.7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3.99</v>
      </c>
      <c r="N10" s="127">
        <f t="shared" si="0"/>
        <v>7.29</v>
      </c>
      <c r="O10" s="57" t="e">
        <f>(#REF!/L10)</f>
        <v>#REF!</v>
      </c>
      <c r="P10" s="60">
        <v>0.15</v>
      </c>
      <c r="Q10" s="57">
        <f t="shared" si="2"/>
        <v>1.74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1195.5999999999999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11.0755</v>
      </c>
      <c r="N11" s="126">
        <f t="shared" si="0"/>
        <v>22.23</v>
      </c>
      <c r="O11" s="58" t="e">
        <f>(#REF!/L11)</f>
        <v>#REF!</v>
      </c>
      <c r="P11" s="59">
        <v>8.6699999999999999E-2</v>
      </c>
      <c r="Q11" s="59">
        <f t="shared" si="2"/>
        <v>1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694.2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20.6768</v>
      </c>
      <c r="N12" s="127">
        <f t="shared" si="0"/>
        <v>43.62</v>
      </c>
      <c r="O12" s="57" t="e">
        <f>(#REF!/L12)</f>
        <v>#REF!</v>
      </c>
      <c r="P12" s="60">
        <v>0.89639999999999997</v>
      </c>
      <c r="Q12" s="57">
        <f t="shared" si="2"/>
        <v>10.38</v>
      </c>
      <c r="R12" s="60">
        <v>0.56198999999999999</v>
      </c>
      <c r="S12" s="147">
        <v>0</v>
      </c>
      <c r="T12" s="147">
        <v>0</v>
      </c>
      <c r="U12" s="60">
        <f>R12+S12</f>
        <v>0.56198999999999999</v>
      </c>
      <c r="V12" s="60">
        <v>2</v>
      </c>
      <c r="W12" s="150"/>
      <c r="X12" s="131">
        <v>0.23080000000000001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750.14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16.074000000000002</v>
      </c>
      <c r="N13" s="126">
        <f t="shared" si="0"/>
        <v>47.3</v>
      </c>
      <c r="O13" s="58" t="e">
        <f>(#REF!/L13)</f>
        <v>#REF!</v>
      </c>
      <c r="P13" s="59">
        <v>1.8241000000000001</v>
      </c>
      <c r="Q13" s="58">
        <f t="shared" si="2"/>
        <v>21.11</v>
      </c>
      <c r="R13" s="59">
        <v>1.8241000000000001</v>
      </c>
      <c r="S13" s="149">
        <v>0</v>
      </c>
      <c r="T13" s="149">
        <v>0</v>
      </c>
      <c r="U13" s="59">
        <f t="shared" si="1"/>
        <v>1.8241000000000001</v>
      </c>
      <c r="V13" s="59">
        <v>7</v>
      </c>
      <c r="W13" s="152"/>
      <c r="X13" s="131">
        <v>2.5749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965.35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1.69</v>
      </c>
      <c r="N14" s="127">
        <f t="shared" si="0"/>
        <v>5.43</v>
      </c>
      <c r="O14" s="57" t="e">
        <f>(#REF!/L14)</f>
        <v>#REF!</v>
      </c>
      <c r="P14" s="60">
        <v>2.2999999999999998</v>
      </c>
      <c r="Q14" s="57">
        <f>ROUND((P14*1000000/(24*3600)),2)</f>
        <v>26.62</v>
      </c>
      <c r="R14" s="60"/>
      <c r="S14" s="147">
        <v>0</v>
      </c>
      <c r="T14" s="147">
        <v>0</v>
      </c>
      <c r="U14" s="60">
        <f t="shared" si="1"/>
        <v>0</v>
      </c>
      <c r="V14" s="60">
        <v>11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419.05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17.38</v>
      </c>
      <c r="N15" s="126">
        <f t="shared" si="0"/>
        <v>57.36</v>
      </c>
      <c r="O15" s="58" t="e">
        <f>(#REF!/L15)</f>
        <v>#REF!</v>
      </c>
      <c r="P15" s="59">
        <v>3.7349999999999999</v>
      </c>
      <c r="Q15" s="58">
        <f t="shared" si="2"/>
        <v>43.23</v>
      </c>
      <c r="R15" s="59">
        <v>4.7754000000000003</v>
      </c>
      <c r="S15" s="149">
        <v>8.4699999999999998E-2</v>
      </c>
      <c r="T15" s="149">
        <f>Y15</f>
        <v>0</v>
      </c>
      <c r="U15" s="59">
        <f t="shared" si="1"/>
        <v>4.8601000000000001</v>
      </c>
      <c r="V15" s="59">
        <v>5.0999999999999996</v>
      </c>
      <c r="W15" s="151" t="s">
        <v>136</v>
      </c>
      <c r="X15" s="131">
        <v>1.8766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1747.6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1.756</v>
      </c>
      <c r="N16" s="127">
        <f t="shared" si="0"/>
        <v>22.95</v>
      </c>
      <c r="O16" s="57" t="e">
        <f>(#REF!/L16)</f>
        <v>#REF!</v>
      </c>
      <c r="P16" s="60">
        <v>3.5999999999999997E-2</v>
      </c>
      <c r="Q16" s="57">
        <f t="shared" si="2"/>
        <v>0.42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452.4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3.9129999999999998</v>
      </c>
      <c r="N17" s="126">
        <f t="shared" si="0"/>
        <v>60.86</v>
      </c>
      <c r="O17" s="58" t="e">
        <f>(#REF!/L17)</f>
        <v>#REF!</v>
      </c>
      <c r="P17" s="59">
        <v>1.7553000000000001</v>
      </c>
      <c r="Q17" s="58">
        <f t="shared" si="2"/>
        <v>20.32</v>
      </c>
      <c r="R17" s="59">
        <v>2.0104000000000002</v>
      </c>
      <c r="S17" s="149">
        <v>0</v>
      </c>
      <c r="T17" s="149">
        <v>0</v>
      </c>
      <c r="U17" s="59">
        <f t="shared" si="1"/>
        <v>2.0104000000000002</v>
      </c>
      <c r="V17" s="59">
        <v>2</v>
      </c>
      <c r="W17" s="150"/>
      <c r="X17" s="131">
        <v>0.93030000000000002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248.8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2.8220000000000001</v>
      </c>
      <c r="N19" s="126">
        <f t="shared" si="0"/>
        <v>62.02</v>
      </c>
      <c r="O19" s="58" t="e">
        <f>(#REF!/L19)</f>
        <v>#REF!</v>
      </c>
      <c r="P19" s="59">
        <v>2.7143999999999999</v>
      </c>
      <c r="Q19" s="58">
        <f t="shared" si="2"/>
        <v>31.42</v>
      </c>
      <c r="R19" s="59">
        <v>2.2784</v>
      </c>
      <c r="S19" s="149">
        <v>0</v>
      </c>
      <c r="T19" s="149">
        <v>0</v>
      </c>
      <c r="U19" s="59">
        <f t="shared" si="1"/>
        <v>2.2784</v>
      </c>
      <c r="V19" s="59">
        <v>5</v>
      </c>
      <c r="W19" s="151"/>
      <c r="X19" s="131">
        <v>1.0489999999999999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185.3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0.308</v>
      </c>
      <c r="N20" s="127">
        <f t="shared" si="0"/>
        <v>26.55</v>
      </c>
      <c r="O20" s="57" t="e">
        <f>(#REF!/L20)</f>
        <v>#REF!</v>
      </c>
      <c r="P20" s="60">
        <v>0.85709999999999997</v>
      </c>
      <c r="Q20" s="60">
        <f t="shared" si="2"/>
        <v>9.92</v>
      </c>
      <c r="R20" s="60">
        <v>0.97589999999999999</v>
      </c>
      <c r="S20" s="147">
        <v>0</v>
      </c>
      <c r="T20" s="153">
        <v>0</v>
      </c>
      <c r="U20" s="60">
        <f t="shared" si="1"/>
        <v>0.97589999999999999</v>
      </c>
      <c r="V20" s="60">
        <v>6</v>
      </c>
      <c r="W20" s="154"/>
      <c r="X20" s="131">
        <v>0.30027999999999999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8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0.11799999999999999</v>
      </c>
      <c r="N22" s="139">
        <f t="shared" si="0"/>
        <v>30.26</v>
      </c>
      <c r="O22" s="115" t="e">
        <f>(#REF!/L22)</f>
        <v>#REF!</v>
      </c>
      <c r="P22" s="116">
        <v>0.87180000000000002</v>
      </c>
      <c r="Q22" s="115">
        <f t="shared" si="2"/>
        <v>10.09</v>
      </c>
      <c r="R22" s="116">
        <v>0.94272100000000003</v>
      </c>
      <c r="S22" s="153">
        <v>0</v>
      </c>
      <c r="T22" s="153">
        <v>0</v>
      </c>
      <c r="U22" s="116">
        <f t="shared" si="1"/>
        <v>0.94272100000000003</v>
      </c>
      <c r="V22" s="116">
        <v>0</v>
      </c>
      <c r="W22" s="156"/>
      <c r="X22" s="131">
        <v>0.74229999999999996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1098.44</v>
      </c>
      <c r="N23" s="185">
        <f t="shared" si="0"/>
        <v>30.96</v>
      </c>
      <c r="O23" s="185" t="e">
        <f>(#REF!/L23)</f>
        <v>#REF!</v>
      </c>
      <c r="P23" s="89"/>
      <c r="Q23" s="185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Q3" sqref="Q3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2328.2399999999998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420.88600000000002</v>
      </c>
      <c r="N5" s="126">
        <f t="shared" ref="N5:N23" si="0">ROUND((M5/L5)*100,2)</f>
        <v>28.84</v>
      </c>
      <c r="O5" s="58" t="e">
        <f>(#REF!/L5)</f>
        <v>#REF!</v>
      </c>
      <c r="P5" s="59">
        <v>5.35</v>
      </c>
      <c r="Q5" s="58">
        <f>ROUND((P5*1000000/(24*3600)),2)</f>
        <v>61.92</v>
      </c>
      <c r="R5" s="59">
        <v>3.9144000000000001</v>
      </c>
      <c r="S5" s="149">
        <v>0</v>
      </c>
      <c r="T5" s="149">
        <v>0</v>
      </c>
      <c r="U5" s="59">
        <f t="shared" ref="U5:U22" si="1">R5+S5</f>
        <v>3.9144000000000001</v>
      </c>
      <c r="V5" s="59">
        <v>1.2</v>
      </c>
      <c r="W5" s="152"/>
      <c r="X5" s="131">
        <v>5.6390000000000002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143.15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370.15300000000002</v>
      </c>
      <c r="N6" s="127">
        <f t="shared" si="0"/>
        <v>36.369999999999997</v>
      </c>
      <c r="O6" s="57" t="e">
        <f>(#REF!/L6)</f>
        <v>#REF!</v>
      </c>
      <c r="P6" s="60">
        <v>4.5648</v>
      </c>
      <c r="Q6" s="57">
        <f>ROUND((P6*1000000/(24*3600)),2)</f>
        <v>52.83</v>
      </c>
      <c r="R6" s="60">
        <v>1.4447000000000001</v>
      </c>
      <c r="S6" s="147">
        <v>0</v>
      </c>
      <c r="T6" s="147">
        <v>0</v>
      </c>
      <c r="U6" s="60">
        <f t="shared" si="1"/>
        <v>1.4447000000000001</v>
      </c>
      <c r="V6" s="60">
        <v>0</v>
      </c>
      <c r="W6" s="148"/>
      <c r="X6" s="131">
        <v>0.35820000000000002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953.97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135.69</v>
      </c>
      <c r="N7" s="126">
        <f t="shared" si="0"/>
        <v>30.39</v>
      </c>
      <c r="O7" s="58" t="e">
        <f>(#REF!/L7)</f>
        <v>#REF!</v>
      </c>
      <c r="P7" s="59">
        <v>2.2831999999999999</v>
      </c>
      <c r="Q7" s="58">
        <f t="shared" ref="Q7:Q22" si="2">ROUND((P7*1000000/(24*3600)),2)</f>
        <v>26.43</v>
      </c>
      <c r="R7" s="59">
        <v>1.0331999999999999</v>
      </c>
      <c r="S7" s="149">
        <v>0</v>
      </c>
      <c r="T7" s="149">
        <v>0</v>
      </c>
      <c r="U7" s="59">
        <f t="shared" si="1"/>
        <v>1.0331999999999999</v>
      </c>
      <c r="V7" s="59">
        <v>3</v>
      </c>
      <c r="W7" s="151"/>
      <c r="X7" s="131">
        <v>1.6664000000000001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761.6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56.35</v>
      </c>
      <c r="N8" s="127">
        <f t="shared" si="0"/>
        <v>28.03</v>
      </c>
      <c r="O8" s="57" t="e">
        <f>(#REF!/L8)</f>
        <v>#REF!</v>
      </c>
      <c r="P8" s="60">
        <v>0.6</v>
      </c>
      <c r="Q8" s="57">
        <f>ROUND((P8*1000000/(24*3600)),2)</f>
        <v>6.94</v>
      </c>
      <c r="R8" s="60"/>
      <c r="S8" s="147">
        <v>0</v>
      </c>
      <c r="T8" s="147">
        <v>0</v>
      </c>
      <c r="U8" s="60">
        <f t="shared" si="1"/>
        <v>0</v>
      </c>
      <c r="V8" s="60">
        <v>0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2609.5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41.91</v>
      </c>
      <c r="N9" s="126">
        <f t="shared" si="0"/>
        <v>28.11</v>
      </c>
      <c r="O9" s="58" t="e">
        <f>(#REF!/L9)</f>
        <v>#REF!</v>
      </c>
      <c r="P9" s="59">
        <v>1.3449</v>
      </c>
      <c r="Q9" s="58">
        <f t="shared" si="2"/>
        <v>15.57</v>
      </c>
      <c r="R9" s="59">
        <v>0.31130000000000002</v>
      </c>
      <c r="S9" s="149">
        <v>0</v>
      </c>
      <c r="T9" s="149">
        <v>0</v>
      </c>
      <c r="U9" s="59">
        <f t="shared" si="1"/>
        <v>0.31130000000000002</v>
      </c>
      <c r="V9" s="59">
        <v>0</v>
      </c>
      <c r="W9" s="151"/>
      <c r="X9" s="131">
        <v>0.20019999999999999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1569.9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4.1900000000000004</v>
      </c>
      <c r="N10" s="127">
        <f t="shared" si="0"/>
        <v>7.65</v>
      </c>
      <c r="O10" s="57" t="e">
        <f>(#REF!/L10)</f>
        <v>#REF!</v>
      </c>
      <c r="P10" s="60">
        <v>0.2</v>
      </c>
      <c r="Q10" s="57">
        <f t="shared" si="2"/>
        <v>2.31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1195.6300000000001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11.1275</v>
      </c>
      <c r="N11" s="126">
        <f t="shared" si="0"/>
        <v>22.33</v>
      </c>
      <c r="O11" s="58" t="e">
        <f>(#REF!/L11)</f>
        <v>#REF!</v>
      </c>
      <c r="P11" s="59">
        <v>5.1999999999999998E-2</v>
      </c>
      <c r="Q11" s="59">
        <f t="shared" si="2"/>
        <v>0.6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694.15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20.5932</v>
      </c>
      <c r="N12" s="127">
        <f t="shared" si="0"/>
        <v>43.45</v>
      </c>
      <c r="O12" s="57" t="e">
        <f>(#REF!/L12)</f>
        <v>#REF!</v>
      </c>
      <c r="P12" s="60">
        <v>0.39219999999999999</v>
      </c>
      <c r="Q12" s="57">
        <f t="shared" si="2"/>
        <v>4.54</v>
      </c>
      <c r="R12" s="60">
        <v>0.47578999999999999</v>
      </c>
      <c r="S12" s="147">
        <v>0</v>
      </c>
      <c r="T12" s="147">
        <v>0</v>
      </c>
      <c r="U12" s="60">
        <f>R12+S12</f>
        <v>0.47578999999999999</v>
      </c>
      <c r="V12" s="60">
        <v>0</v>
      </c>
      <c r="W12" s="150"/>
      <c r="X12" s="131">
        <v>0.19539999999999999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750.02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15.83</v>
      </c>
      <c r="N13" s="126">
        <f t="shared" si="0"/>
        <v>46.59</v>
      </c>
      <c r="O13" s="58" t="e">
        <f>(#REF!/L13)</f>
        <v>#REF!</v>
      </c>
      <c r="P13" s="59">
        <v>0.63749999999999996</v>
      </c>
      <c r="Q13" s="58">
        <f t="shared" si="2"/>
        <v>7.38</v>
      </c>
      <c r="R13" s="59">
        <v>0.88149999999999995</v>
      </c>
      <c r="S13" s="149">
        <v>0</v>
      </c>
      <c r="T13" s="149">
        <v>0</v>
      </c>
      <c r="U13" s="59">
        <f t="shared" si="1"/>
        <v>0.88149999999999995</v>
      </c>
      <c r="V13" s="59">
        <v>5</v>
      </c>
      <c r="W13" s="152"/>
      <c r="X13" s="131">
        <v>1.2454000000000001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965.15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1.53</v>
      </c>
      <c r="N14" s="127">
        <f t="shared" si="0"/>
        <v>4.91</v>
      </c>
      <c r="O14" s="57" t="e">
        <f>(#REF!/L14)</f>
        <v>#REF!</v>
      </c>
      <c r="P14" s="60">
        <v>1.976</v>
      </c>
      <c r="Q14" s="57">
        <f>ROUND((P14*1000000/(24*3600)),2)</f>
        <v>22.87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418.3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15.75</v>
      </c>
      <c r="N15" s="126">
        <f t="shared" si="0"/>
        <v>51.98</v>
      </c>
      <c r="O15" s="58" t="e">
        <f>(#REF!/L15)</f>
        <v>#REF!</v>
      </c>
      <c r="P15" s="59">
        <v>3.1</v>
      </c>
      <c r="Q15" s="58">
        <f t="shared" si="2"/>
        <v>35.880000000000003</v>
      </c>
      <c r="R15" s="59">
        <v>4.7300000000000004</v>
      </c>
      <c r="S15" s="149">
        <v>0</v>
      </c>
      <c r="T15" s="149">
        <f>Y15</f>
        <v>0</v>
      </c>
      <c r="U15" s="59">
        <f t="shared" si="1"/>
        <v>4.7300000000000004</v>
      </c>
      <c r="V15" s="59">
        <v>1</v>
      </c>
      <c r="W15" s="151" t="s">
        <v>136</v>
      </c>
      <c r="X15" s="131">
        <v>1.85792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1747.7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1.792</v>
      </c>
      <c r="N16" s="127">
        <f t="shared" si="0"/>
        <v>23.42</v>
      </c>
      <c r="O16" s="57" t="e">
        <f>(#REF!/L16)</f>
        <v>#REF!</v>
      </c>
      <c r="P16" s="60">
        <v>3.5999999999999997E-2</v>
      </c>
      <c r="Q16" s="57">
        <f t="shared" si="2"/>
        <v>0.42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452.9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4.1680000000000001</v>
      </c>
      <c r="N17" s="126">
        <f t="shared" si="0"/>
        <v>64.819999999999993</v>
      </c>
      <c r="O17" s="58" t="e">
        <f>(#REF!/L17)</f>
        <v>#REF!</v>
      </c>
      <c r="P17" s="59">
        <v>2.1036000000000001</v>
      </c>
      <c r="Q17" s="57">
        <f t="shared" si="2"/>
        <v>24.35</v>
      </c>
      <c r="R17" s="59">
        <v>1.8485</v>
      </c>
      <c r="S17" s="149">
        <v>0</v>
      </c>
      <c r="T17" s="149">
        <v>0</v>
      </c>
      <c r="U17" s="59">
        <f t="shared" si="1"/>
        <v>1.8485</v>
      </c>
      <c r="V17" s="59">
        <v>0</v>
      </c>
      <c r="W17" s="150"/>
      <c r="X17" s="131">
        <v>0.86309999999999998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</v>
      </c>
      <c r="N19" s="126">
        <f t="shared" si="0"/>
        <v>63.74</v>
      </c>
      <c r="O19" s="58" t="e">
        <f>(#REF!/L19)</f>
        <v>#REF!</v>
      </c>
      <c r="P19" s="59">
        <v>3.7031000000000001</v>
      </c>
      <c r="Q19" s="57">
        <f t="shared" si="2"/>
        <v>42.86</v>
      </c>
      <c r="R19" s="59">
        <v>3.6251000000000002</v>
      </c>
      <c r="S19" s="149">
        <v>0</v>
      </c>
      <c r="T19" s="149">
        <v>0</v>
      </c>
      <c r="U19" s="59">
        <f t="shared" si="1"/>
        <v>3.6251000000000002</v>
      </c>
      <c r="V19" s="59">
        <v>0</v>
      </c>
      <c r="W19" s="151"/>
      <c r="X19" s="131">
        <v>1.669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0.36499999999999999</v>
      </c>
      <c r="N20" s="127">
        <f t="shared" si="0"/>
        <v>31.47</v>
      </c>
      <c r="O20" s="57" t="e">
        <f>(#REF!/L20)</f>
        <v>#REF!</v>
      </c>
      <c r="P20" s="60">
        <v>1.3696999999999999</v>
      </c>
      <c r="Q20" s="57">
        <f t="shared" si="2"/>
        <v>15.85</v>
      </c>
      <c r="R20" s="60">
        <v>1.1956</v>
      </c>
      <c r="S20" s="147">
        <v>0</v>
      </c>
      <c r="T20" s="153">
        <v>0</v>
      </c>
      <c r="U20" s="60">
        <f t="shared" si="1"/>
        <v>1.1956</v>
      </c>
      <c r="V20" s="60">
        <v>1</v>
      </c>
      <c r="W20" s="154"/>
      <c r="X20" s="131">
        <v>0.34160000000000001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0.189</v>
      </c>
      <c r="N22" s="139">
        <f t="shared" si="0"/>
        <v>48.46</v>
      </c>
      <c r="O22" s="115" t="e">
        <f>(#REF!/L22)</f>
        <v>#REF!</v>
      </c>
      <c r="P22" s="116">
        <v>0.87009999999999998</v>
      </c>
      <c r="Q22" s="57">
        <f t="shared" si="2"/>
        <v>10.07</v>
      </c>
      <c r="R22" s="116">
        <v>0.799211</v>
      </c>
      <c r="S22" s="153">
        <v>0</v>
      </c>
      <c r="T22" s="153">
        <v>0</v>
      </c>
      <c r="U22" s="116">
        <f t="shared" si="1"/>
        <v>0.799211</v>
      </c>
      <c r="V22" s="116">
        <v>0</v>
      </c>
      <c r="W22" s="156"/>
      <c r="X22" s="131">
        <v>0.62929999999999997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1104.33</v>
      </c>
      <c r="N23" s="186">
        <f t="shared" si="0"/>
        <v>31.13</v>
      </c>
      <c r="O23" s="186" t="e">
        <f>(#REF!/L23)</f>
        <v>#REF!</v>
      </c>
      <c r="P23" s="89"/>
      <c r="Q23" s="186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N6" sqref="N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2328.16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420.03199999999998</v>
      </c>
      <c r="N5" s="126">
        <f t="shared" ref="N5:N23" si="0">ROUND((M5/L5)*100,2)</f>
        <v>28.78</v>
      </c>
      <c r="O5" s="58" t="e">
        <f>(#REF!/L5)</f>
        <v>#REF!</v>
      </c>
      <c r="P5" s="59">
        <v>4.2770000000000001</v>
      </c>
      <c r="Q5" s="58">
        <f>ROUND((P5*1000000/(24*3600)),2)</f>
        <v>49.5</v>
      </c>
      <c r="R5" s="59">
        <v>4.9763000000000002</v>
      </c>
      <c r="S5" s="149">
        <v>0</v>
      </c>
      <c r="T5" s="149">
        <v>0</v>
      </c>
      <c r="U5" s="59">
        <f t="shared" ref="U5:U22" si="1">R5+S5</f>
        <v>4.9763000000000002</v>
      </c>
      <c r="V5" s="59">
        <v>0</v>
      </c>
      <c r="W5" s="152"/>
      <c r="X5" s="131">
        <v>7.2320000000000002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143.24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371.89400000000001</v>
      </c>
      <c r="N6" s="127">
        <f t="shared" si="0"/>
        <v>36.54</v>
      </c>
      <c r="O6" s="57" t="e">
        <f>(#REF!/L6)</f>
        <v>#REF!</v>
      </c>
      <c r="P6" s="60">
        <v>3.629</v>
      </c>
      <c r="Q6" s="57">
        <f>ROUND((P6*1000000/(24*3600)),2)</f>
        <v>42</v>
      </c>
      <c r="R6" s="60">
        <v>1.8340000000000001</v>
      </c>
      <c r="S6" s="147">
        <v>0</v>
      </c>
      <c r="T6" s="147">
        <v>0</v>
      </c>
      <c r="U6" s="60">
        <f t="shared" si="1"/>
        <v>1.8340000000000001</v>
      </c>
      <c r="V6" s="60">
        <v>0</v>
      </c>
      <c r="W6" s="148"/>
      <c r="X6" s="131">
        <v>0.4551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954.03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136.11000000000001</v>
      </c>
      <c r="N7" s="126">
        <f t="shared" si="0"/>
        <v>30.48</v>
      </c>
      <c r="O7" s="58" t="e">
        <f>(#REF!/L7)</f>
        <v>#REF!</v>
      </c>
      <c r="P7" s="59">
        <v>1.9009</v>
      </c>
      <c r="Q7" s="58">
        <f t="shared" ref="Q7:Q22" si="2">ROUND((P7*1000000/(24*3600)),2)</f>
        <v>22</v>
      </c>
      <c r="R7" s="59">
        <v>1.4809000000000001</v>
      </c>
      <c r="S7" s="149">
        <v>0</v>
      </c>
      <c r="T7" s="149">
        <v>0</v>
      </c>
      <c r="U7" s="59">
        <f t="shared" si="1"/>
        <v>1.4809000000000001</v>
      </c>
      <c r="V7" s="59">
        <v>0</v>
      </c>
      <c r="W7" s="151"/>
      <c r="X7" s="131">
        <v>2.3885999999999998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761.7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57.35</v>
      </c>
      <c r="N8" s="127">
        <f t="shared" si="0"/>
        <v>28.53</v>
      </c>
      <c r="O8" s="57" t="e">
        <f>(#REF!/L8)</f>
        <v>#REF!</v>
      </c>
      <c r="P8" s="60">
        <v>1</v>
      </c>
      <c r="Q8" s="57">
        <f>ROUND((P8*1000000/(24*3600)),2)</f>
        <v>11.57</v>
      </c>
      <c r="R8" s="60"/>
      <c r="S8" s="147">
        <v>0</v>
      </c>
      <c r="T8" s="147">
        <v>0</v>
      </c>
      <c r="U8" s="60">
        <f t="shared" si="1"/>
        <v>0</v>
      </c>
      <c r="V8" s="60">
        <v>0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2610.3000000000002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42.96</v>
      </c>
      <c r="N9" s="126">
        <f t="shared" si="0"/>
        <v>28.82</v>
      </c>
      <c r="O9" s="58" t="e">
        <f>(#REF!/L9)</f>
        <v>#REF!</v>
      </c>
      <c r="P9" s="59">
        <v>1.3863000000000001</v>
      </c>
      <c r="Q9" s="58">
        <f t="shared" si="2"/>
        <v>16.05</v>
      </c>
      <c r="R9" s="59">
        <v>0.3357</v>
      </c>
      <c r="S9" s="149">
        <v>0</v>
      </c>
      <c r="T9" s="149">
        <v>0</v>
      </c>
      <c r="U9" s="59">
        <f t="shared" si="1"/>
        <v>0.3357</v>
      </c>
      <c r="V9" s="59">
        <v>0</v>
      </c>
      <c r="W9" s="151"/>
      <c r="X9" s="131">
        <v>0.216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1569.95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4.24</v>
      </c>
      <c r="N10" s="127">
        <f t="shared" si="0"/>
        <v>7.74</v>
      </c>
      <c r="O10" s="57" t="e">
        <f>(#REF!/L10)</f>
        <v>#REF!</v>
      </c>
      <c r="P10" s="60">
        <v>0.05</v>
      </c>
      <c r="Q10" s="57">
        <f t="shared" si="2"/>
        <v>0.57999999999999996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132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1195.67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11.196899999999999</v>
      </c>
      <c r="N11" s="126">
        <f t="shared" si="0"/>
        <v>22.47</v>
      </c>
      <c r="O11" s="58" t="e">
        <f>(#REF!/L11)</f>
        <v>#REF!</v>
      </c>
      <c r="P11" s="59">
        <v>6.9400000000000003E-2</v>
      </c>
      <c r="Q11" s="59">
        <f t="shared" si="2"/>
        <v>0.8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693.9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20.1752</v>
      </c>
      <c r="N12" s="127">
        <f t="shared" si="0"/>
        <v>42.56</v>
      </c>
      <c r="O12" s="57" t="e">
        <f>(#REF!/L12)</f>
        <v>#REF!</v>
      </c>
      <c r="P12" s="60">
        <v>2.4400000000000002E-2</v>
      </c>
      <c r="Q12" s="57">
        <f t="shared" si="2"/>
        <v>0.28000000000000003</v>
      </c>
      <c r="R12" s="60">
        <v>0.44240000000000002</v>
      </c>
      <c r="S12" s="147">
        <v>0</v>
      </c>
      <c r="T12" s="147">
        <v>0</v>
      </c>
      <c r="U12" s="60">
        <f>R12+S12</f>
        <v>0.44240000000000002</v>
      </c>
      <c r="V12" s="60">
        <v>0</v>
      </c>
      <c r="W12" s="150"/>
      <c r="X12" s="131">
        <v>0.1817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749.81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15.403</v>
      </c>
      <c r="N13" s="126">
        <f t="shared" si="0"/>
        <v>45.33</v>
      </c>
      <c r="O13" s="58" t="e">
        <f>(#REF!/L13)</f>
        <v>#REF!</v>
      </c>
      <c r="P13" s="59">
        <v>0.60699999999999998</v>
      </c>
      <c r="Q13" s="58">
        <f t="shared" si="2"/>
        <v>7.03</v>
      </c>
      <c r="R13" s="59">
        <v>1.034</v>
      </c>
      <c r="S13" s="149">
        <v>0</v>
      </c>
      <c r="T13" s="149">
        <v>0</v>
      </c>
      <c r="U13" s="59">
        <f t="shared" si="1"/>
        <v>1.034</v>
      </c>
      <c r="V13" s="59">
        <v>0</v>
      </c>
      <c r="W13" s="152"/>
      <c r="X13" s="131">
        <v>1.4602999999999999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1.41</v>
      </c>
      <c r="N14" s="127">
        <f t="shared" si="0"/>
        <v>4.53</v>
      </c>
      <c r="O14" s="57" t="e">
        <f>(#REF!/L14)</f>
        <v>#REF!</v>
      </c>
      <c r="P14" s="60">
        <v>1.76</v>
      </c>
      <c r="Q14" s="57">
        <f>ROUND((P14*1000000/(24*3600)),2)</f>
        <v>20.37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418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15.1</v>
      </c>
      <c r="N15" s="126">
        <f t="shared" si="0"/>
        <v>49.83</v>
      </c>
      <c r="O15" s="58" t="e">
        <f>(#REF!/L15)</f>
        <v>#REF!</v>
      </c>
      <c r="P15" s="59">
        <v>3.7435</v>
      </c>
      <c r="Q15" s="58">
        <f t="shared" si="2"/>
        <v>43.33</v>
      </c>
      <c r="R15" s="59">
        <v>4.3884999999999996</v>
      </c>
      <c r="S15" s="149">
        <v>0</v>
      </c>
      <c r="T15" s="149">
        <f>Y15</f>
        <v>0</v>
      </c>
      <c r="U15" s="59">
        <f t="shared" si="1"/>
        <v>4.3884999999999996</v>
      </c>
      <c r="V15" s="59">
        <v>0</v>
      </c>
      <c r="W15" s="151" t="s">
        <v>136</v>
      </c>
      <c r="X15" s="131">
        <v>1.761404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1747.75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1.81</v>
      </c>
      <c r="N16" s="127">
        <f t="shared" si="0"/>
        <v>23.66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452.9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4.1680000000000001</v>
      </c>
      <c r="N17" s="126">
        <f t="shared" si="0"/>
        <v>64.819999999999993</v>
      </c>
      <c r="O17" s="58" t="e">
        <f>(#REF!/L17)</f>
        <v>#REF!</v>
      </c>
      <c r="P17" s="59">
        <v>2.1036000000000001</v>
      </c>
      <c r="Q17" s="57">
        <f t="shared" si="2"/>
        <v>24.35</v>
      </c>
      <c r="R17" s="59">
        <v>1.8485</v>
      </c>
      <c r="S17" s="149">
        <v>0</v>
      </c>
      <c r="T17" s="149">
        <v>0</v>
      </c>
      <c r="U17" s="59">
        <f t="shared" si="1"/>
        <v>1.8485</v>
      </c>
      <c r="V17" s="59">
        <v>0</v>
      </c>
      <c r="W17" s="150"/>
      <c r="X17" s="131">
        <v>0.86309999999999998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248.6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2.7440000000000002</v>
      </c>
      <c r="N19" s="126">
        <f t="shared" si="0"/>
        <v>60.31</v>
      </c>
      <c r="O19" s="58" t="e">
        <f>(#REF!/L19)</f>
        <v>#REF!</v>
      </c>
      <c r="P19" s="59">
        <v>1.9313</v>
      </c>
      <c r="Q19" s="57">
        <f t="shared" si="2"/>
        <v>22.35</v>
      </c>
      <c r="R19" s="59">
        <v>2.0872999999999999</v>
      </c>
      <c r="S19" s="149">
        <v>0</v>
      </c>
      <c r="T19" s="149">
        <v>0</v>
      </c>
      <c r="U19" s="59">
        <f t="shared" si="1"/>
        <v>2.0872999999999999</v>
      </c>
      <c r="V19" s="59">
        <v>0</v>
      </c>
      <c r="W19" s="151"/>
      <c r="X19" s="131">
        <v>0.96099999999999997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186.8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0.44600000000000001</v>
      </c>
      <c r="N20" s="127">
        <f t="shared" si="0"/>
        <v>38.450000000000003</v>
      </c>
      <c r="O20" s="57" t="e">
        <f>(#REF!/L20)</f>
        <v>#REF!</v>
      </c>
      <c r="P20" s="60">
        <v>1.6226</v>
      </c>
      <c r="Q20" s="57">
        <f t="shared" si="2"/>
        <v>18.78</v>
      </c>
      <c r="R20" s="60">
        <v>1.3677299999999999</v>
      </c>
      <c r="S20" s="147">
        <v>0</v>
      </c>
      <c r="T20" s="153">
        <v>0</v>
      </c>
      <c r="U20" s="60">
        <f t="shared" si="1"/>
        <v>1.3677299999999999</v>
      </c>
      <c r="V20" s="60">
        <v>0</v>
      </c>
      <c r="W20" s="154"/>
      <c r="X20" s="131">
        <v>0.42083999999999999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0.20100000000000001</v>
      </c>
      <c r="N22" s="139">
        <f t="shared" si="0"/>
        <v>51.54</v>
      </c>
      <c r="O22" s="115" t="e">
        <f>(#REF!/L22)</f>
        <v>#REF!</v>
      </c>
      <c r="P22" s="116">
        <v>0.67410000000000003</v>
      </c>
      <c r="Q22" s="57">
        <f t="shared" si="2"/>
        <v>7.8</v>
      </c>
      <c r="R22" s="116">
        <v>0.66239999999999999</v>
      </c>
      <c r="S22" s="153">
        <v>0</v>
      </c>
      <c r="T22" s="153">
        <v>0</v>
      </c>
      <c r="U22" s="116">
        <f t="shared" si="1"/>
        <v>0.66239999999999999</v>
      </c>
      <c r="V22" s="116">
        <v>0</v>
      </c>
      <c r="W22" s="156"/>
      <c r="X22" s="131">
        <v>0.52149999999999996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1106.1500000000001</v>
      </c>
      <c r="N23" s="187">
        <f t="shared" si="0"/>
        <v>31.18</v>
      </c>
      <c r="O23" s="187" t="e">
        <f>(#REF!/L23)</f>
        <v>#REF!</v>
      </c>
      <c r="P23" s="89"/>
      <c r="Q23" s="187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K7" sqref="K7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148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2327.86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416.82600000000002</v>
      </c>
      <c r="N5" s="126">
        <f t="shared" ref="N5:N23" si="0">ROUND((M5/L5)*100,2)</f>
        <v>28.56</v>
      </c>
      <c r="O5" s="58" t="e">
        <f>(#REF!/L5)</f>
        <v>#REF!</v>
      </c>
      <c r="P5" s="59">
        <v>3.762</v>
      </c>
      <c r="Q5" s="58">
        <f>ROUND((P5*1000000/(24*3600)),2)</f>
        <v>43.54</v>
      </c>
      <c r="R5" s="59">
        <v>6.8136999999999999</v>
      </c>
      <c r="S5" s="149">
        <v>0</v>
      </c>
      <c r="T5" s="149">
        <v>0</v>
      </c>
      <c r="U5" s="59">
        <f t="shared" ref="U5:U22" si="1">R5+S5</f>
        <v>6.8136999999999999</v>
      </c>
      <c r="V5" s="59">
        <v>0.2</v>
      </c>
      <c r="W5" s="152"/>
      <c r="X5" s="131">
        <v>9.9009999999999998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143.19999999999999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371.12</v>
      </c>
      <c r="N6" s="127">
        <f t="shared" si="0"/>
        <v>36.46</v>
      </c>
      <c r="O6" s="57" t="e">
        <f>(#REF!/L6)</f>
        <v>#REF!</v>
      </c>
      <c r="P6" s="60">
        <v>1.9997</v>
      </c>
      <c r="Q6" s="57">
        <f>ROUND((P6*1000000/(24*3600)),2)</f>
        <v>23.14</v>
      </c>
      <c r="R6" s="60">
        <v>2.7271999999999998</v>
      </c>
      <c r="S6" s="147">
        <v>0</v>
      </c>
      <c r="T6" s="147">
        <v>0</v>
      </c>
      <c r="U6" s="60">
        <f t="shared" si="1"/>
        <v>2.7271999999999998</v>
      </c>
      <c r="V6" s="60">
        <v>0</v>
      </c>
      <c r="W6" s="148"/>
      <c r="X6" s="131">
        <v>0.67649999999999999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969.89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136.18</v>
      </c>
      <c r="N7" s="126">
        <f t="shared" si="0"/>
        <v>30.5</v>
      </c>
      <c r="O7" s="58" t="e">
        <f>(#REF!/L7)</f>
        <v>#REF!</v>
      </c>
      <c r="P7" s="59">
        <v>1.8634999999999999</v>
      </c>
      <c r="Q7" s="58">
        <f t="shared" ref="Q7:Q22" si="2">ROUND((P7*1000000/(24*3600)),2)</f>
        <v>21.57</v>
      </c>
      <c r="R7" s="59">
        <v>1.7935000000000001</v>
      </c>
      <c r="S7" s="149">
        <v>0</v>
      </c>
      <c r="T7" s="149">
        <v>0</v>
      </c>
      <c r="U7" s="59">
        <f t="shared" si="1"/>
        <v>1.7935000000000001</v>
      </c>
      <c r="V7" s="59">
        <v>0</v>
      </c>
      <c r="W7" s="151"/>
      <c r="X7" s="131">
        <v>2.8927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761.75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57.55</v>
      </c>
      <c r="N8" s="127">
        <f t="shared" si="0"/>
        <v>28.63</v>
      </c>
      <c r="O8" s="57" t="e">
        <f>(#REF!/L8)</f>
        <v>#REF!</v>
      </c>
      <c r="P8" s="60">
        <v>0.2</v>
      </c>
      <c r="Q8" s="57">
        <f>ROUND((P8*1000000/(24*3600)),2)</f>
        <v>2.31</v>
      </c>
      <c r="R8" s="60"/>
      <c r="S8" s="147">
        <v>0</v>
      </c>
      <c r="T8" s="147">
        <v>0</v>
      </c>
      <c r="U8" s="60">
        <f t="shared" si="1"/>
        <v>0</v>
      </c>
      <c r="V8" s="60">
        <v>0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2610.6999999999998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43.49</v>
      </c>
      <c r="N9" s="126">
        <f t="shared" si="0"/>
        <v>29.17</v>
      </c>
      <c r="O9" s="58" t="e">
        <f>(#REF!/L9)</f>
        <v>#REF!</v>
      </c>
      <c r="P9" s="59">
        <v>0.89039999999999997</v>
      </c>
      <c r="Q9" s="58">
        <f t="shared" si="2"/>
        <v>10.31</v>
      </c>
      <c r="R9" s="59">
        <v>0.35809999999999997</v>
      </c>
      <c r="S9" s="149">
        <v>0</v>
      </c>
      <c r="T9" s="149">
        <v>0</v>
      </c>
      <c r="U9" s="59">
        <f t="shared" si="1"/>
        <v>0.35809999999999997</v>
      </c>
      <c r="V9" s="59">
        <v>3</v>
      </c>
      <c r="W9" s="151"/>
      <c r="X9" s="131">
        <v>0.2306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1569.85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4.1399999999999997</v>
      </c>
      <c r="N10" s="127">
        <f t="shared" si="0"/>
        <v>7.56</v>
      </c>
      <c r="O10" s="57" t="e">
        <f>(#REF!/L10)</f>
        <v>#REF!</v>
      </c>
      <c r="P10" s="60">
        <v>0.2525</v>
      </c>
      <c r="Q10" s="57">
        <f t="shared" si="2"/>
        <v>2.92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149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1195.7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11.248900000000001</v>
      </c>
      <c r="N11" s="126">
        <f t="shared" si="0"/>
        <v>22.57</v>
      </c>
      <c r="O11" s="58" t="e">
        <f>(#REF!/L11)</f>
        <v>#REF!</v>
      </c>
      <c r="P11" s="59">
        <v>5.1999999999999998E-2</v>
      </c>
      <c r="Q11" s="59">
        <f t="shared" si="2"/>
        <v>0.6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693.6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19.6736</v>
      </c>
      <c r="N12" s="127">
        <f t="shared" si="0"/>
        <v>41.51</v>
      </c>
      <c r="O12" s="57" t="e">
        <f>(#REF!/L12)</f>
        <v>#REF!</v>
      </c>
      <c r="P12" s="60">
        <v>0.1237</v>
      </c>
      <c r="Q12" s="57">
        <f t="shared" si="2"/>
        <v>1.43</v>
      </c>
      <c r="R12" s="60">
        <v>0.62529999999999997</v>
      </c>
      <c r="S12" s="147">
        <v>0</v>
      </c>
      <c r="T12" s="147">
        <v>0</v>
      </c>
      <c r="U12" s="60">
        <f>R12+S12</f>
        <v>0.62529999999999997</v>
      </c>
      <c r="V12" s="60">
        <v>0</v>
      </c>
      <c r="W12" s="150"/>
      <c r="X12" s="131">
        <v>0.25679999999999997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749.35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14.4902</v>
      </c>
      <c r="N13" s="126">
        <f t="shared" si="0"/>
        <v>42.64</v>
      </c>
      <c r="O13" s="58" t="e">
        <f>(#REF!/L13)</f>
        <v>#REF!</v>
      </c>
      <c r="P13" s="59">
        <v>5.7999999999999996E-3</v>
      </c>
      <c r="Q13" s="58">
        <f t="shared" si="2"/>
        <v>7.0000000000000007E-2</v>
      </c>
      <c r="R13" s="59">
        <v>0.91859999999999997</v>
      </c>
      <c r="S13" s="149">
        <v>0</v>
      </c>
      <c r="T13" s="149">
        <v>0</v>
      </c>
      <c r="U13" s="59">
        <f t="shared" si="1"/>
        <v>0.91859999999999997</v>
      </c>
      <c r="V13" s="59">
        <v>0</v>
      </c>
      <c r="W13" s="152"/>
      <c r="X13" s="131">
        <v>1.2984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964.8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1.25</v>
      </c>
      <c r="N14" s="127">
        <f t="shared" si="0"/>
        <v>4.01</v>
      </c>
      <c r="O14" s="57" t="e">
        <f>(#REF!/L14)</f>
        <v>#REF!</v>
      </c>
      <c r="P14" s="60">
        <v>1.478</v>
      </c>
      <c r="Q14" s="57">
        <f>ROUND((P14*1000000/(24*3600)),2)</f>
        <v>17.11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416.75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12.6</v>
      </c>
      <c r="N15" s="126">
        <f t="shared" si="0"/>
        <v>41.58</v>
      </c>
      <c r="O15" s="58" t="e">
        <f>(#REF!/L15)</f>
        <v>#REF!</v>
      </c>
      <c r="P15" s="59">
        <v>2.0806</v>
      </c>
      <c r="Q15" s="58">
        <f t="shared" si="2"/>
        <v>24.08</v>
      </c>
      <c r="R15" s="59">
        <v>4.5805999999999996</v>
      </c>
      <c r="S15" s="149">
        <v>0</v>
      </c>
      <c r="T15" s="149">
        <f>Y15</f>
        <v>0</v>
      </c>
      <c r="U15" s="59">
        <f t="shared" si="1"/>
        <v>4.5805999999999996</v>
      </c>
      <c r="V15" s="59">
        <v>0</v>
      </c>
      <c r="W15" s="151" t="s">
        <v>136</v>
      </c>
      <c r="X15" s="131">
        <v>1.7984199999999999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1747.8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1.8280000000000001</v>
      </c>
      <c r="N16" s="127">
        <f t="shared" si="0"/>
        <v>23.9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452.2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3.8109999999999999</v>
      </c>
      <c r="N17" s="126">
        <f t="shared" si="0"/>
        <v>59.27</v>
      </c>
      <c r="O17" s="58" t="e">
        <f>(#REF!/L17)</f>
        <v>#REF!</v>
      </c>
      <c r="P17" s="59">
        <v>1.5307999999999999</v>
      </c>
      <c r="Q17" s="57">
        <f t="shared" si="2"/>
        <v>17.72</v>
      </c>
      <c r="R17" s="59">
        <v>1.9135</v>
      </c>
      <c r="S17" s="149">
        <v>0</v>
      </c>
      <c r="T17" s="149">
        <v>0</v>
      </c>
      <c r="U17" s="59">
        <f t="shared" si="1"/>
        <v>1.9135</v>
      </c>
      <c r="V17" s="59">
        <v>0</v>
      </c>
      <c r="W17" s="150"/>
      <c r="X17" s="131">
        <v>0.89339999999999997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248.8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2.8220000000000001</v>
      </c>
      <c r="N19" s="126">
        <f t="shared" si="0"/>
        <v>62.02</v>
      </c>
      <c r="O19" s="58" t="e">
        <f>(#REF!/L19)</f>
        <v>#REF!</v>
      </c>
      <c r="P19" s="59">
        <v>2.9710999999999999</v>
      </c>
      <c r="Q19" s="57">
        <f t="shared" si="2"/>
        <v>34.39</v>
      </c>
      <c r="R19" s="59">
        <v>2.8931</v>
      </c>
      <c r="S19" s="149">
        <v>0</v>
      </c>
      <c r="T19" s="149">
        <v>0</v>
      </c>
      <c r="U19" s="59">
        <f t="shared" si="1"/>
        <v>2.8931</v>
      </c>
      <c r="V19" s="59">
        <v>0</v>
      </c>
      <c r="W19" s="151"/>
      <c r="X19" s="131">
        <v>1.3320000000000001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187.75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0.54400000000000004</v>
      </c>
      <c r="N20" s="127">
        <f t="shared" si="0"/>
        <v>46.9</v>
      </c>
      <c r="O20" s="57" t="e">
        <f>(#REF!/L20)</f>
        <v>#REF!</v>
      </c>
      <c r="P20" s="60">
        <v>1.4149</v>
      </c>
      <c r="Q20" s="57">
        <f t="shared" si="2"/>
        <v>16.38</v>
      </c>
      <c r="R20" s="60">
        <v>1.6325000000000001</v>
      </c>
      <c r="S20" s="147">
        <v>0</v>
      </c>
      <c r="T20" s="153">
        <v>0</v>
      </c>
      <c r="U20" s="60">
        <f t="shared" si="1"/>
        <v>1.6325000000000001</v>
      </c>
      <c r="V20" s="60">
        <v>0</v>
      </c>
      <c r="W20" s="154"/>
      <c r="X20" s="131">
        <v>0.50229999999999997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0.16500000000000001</v>
      </c>
      <c r="N22" s="139">
        <f t="shared" si="0"/>
        <v>42.31</v>
      </c>
      <c r="O22" s="115" t="e">
        <f>(#REF!/L22)</f>
        <v>#REF!</v>
      </c>
      <c r="P22" s="116">
        <v>0.54579999999999995</v>
      </c>
      <c r="Q22" s="57">
        <f t="shared" si="2"/>
        <v>6.32</v>
      </c>
      <c r="R22" s="116">
        <v>0.58130000000000004</v>
      </c>
      <c r="S22" s="153">
        <v>0</v>
      </c>
      <c r="T22" s="153">
        <v>0</v>
      </c>
      <c r="U22" s="116">
        <f t="shared" si="1"/>
        <v>0.58130000000000004</v>
      </c>
      <c r="V22" s="116">
        <v>0</v>
      </c>
      <c r="W22" s="156"/>
      <c r="X22" s="131">
        <v>0.4577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1098.6500000000001</v>
      </c>
      <c r="N23" s="188">
        <f t="shared" si="0"/>
        <v>30.97</v>
      </c>
      <c r="O23" s="188" t="e">
        <f>(#REF!/L23)</f>
        <v>#REF!</v>
      </c>
      <c r="P23" s="89"/>
      <c r="Q23" s="188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Q5" sqref="Q5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2327.46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412.54399999999998</v>
      </c>
      <c r="N5" s="126">
        <f t="shared" ref="N5:N23" si="0">ROUND((M5/L5)*100,2)</f>
        <v>28.27</v>
      </c>
      <c r="O5" s="58" t="e">
        <f>(#REF!/L5)</f>
        <v>#REF!</v>
      </c>
      <c r="P5" s="59">
        <v>3.379</v>
      </c>
      <c r="Q5" s="58">
        <f>ROUND((P5*1000000/(24*3600)),2)</f>
        <v>39.11</v>
      </c>
      <c r="R5" s="59">
        <v>7.5053999999999998</v>
      </c>
      <c r="S5" s="149">
        <v>0</v>
      </c>
      <c r="T5" s="149">
        <v>0</v>
      </c>
      <c r="U5" s="59">
        <f t="shared" ref="U5:U22" si="1">R5+S5</f>
        <v>7.5053999999999998</v>
      </c>
      <c r="V5" s="59">
        <v>0.6</v>
      </c>
      <c r="W5" s="152"/>
      <c r="X5" s="131">
        <v>10.904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143.21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371.31299999999999</v>
      </c>
      <c r="N6" s="127">
        <f t="shared" si="0"/>
        <v>36.479999999999997</v>
      </c>
      <c r="O6" s="57" t="e">
        <f>(#REF!/L6)</f>
        <v>#REF!</v>
      </c>
      <c r="P6" s="60">
        <v>2.7185999999999999</v>
      </c>
      <c r="Q6" s="57">
        <f>ROUND((P6*1000000/(24*3600)),2)</f>
        <v>31.47</v>
      </c>
      <c r="R6" s="60">
        <v>2.5108999999999999</v>
      </c>
      <c r="S6" s="147">
        <v>0</v>
      </c>
      <c r="T6" s="147">
        <v>0</v>
      </c>
      <c r="U6" s="60">
        <f t="shared" si="1"/>
        <v>2.5108999999999999</v>
      </c>
      <c r="V6" s="60">
        <v>6.6</v>
      </c>
      <c r="W6" s="148"/>
      <c r="X6" s="131">
        <v>0.62290000000000001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953.97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135.69</v>
      </c>
      <c r="N7" s="126">
        <f t="shared" si="0"/>
        <v>30.39</v>
      </c>
      <c r="O7" s="58" t="e">
        <f>(#REF!/L7)</f>
        <v>#REF!</v>
      </c>
      <c r="P7" s="59">
        <v>1.7554000000000001</v>
      </c>
      <c r="Q7" s="58">
        <f t="shared" ref="Q7:Q22" si="2">ROUND((P7*1000000/(24*3600)),2)</f>
        <v>20.32</v>
      </c>
      <c r="R7" s="59">
        <v>2.2454000000000001</v>
      </c>
      <c r="S7" s="149">
        <v>0</v>
      </c>
      <c r="T7" s="149">
        <v>0</v>
      </c>
      <c r="U7" s="59">
        <f t="shared" si="1"/>
        <v>2.2454000000000001</v>
      </c>
      <c r="V7" s="59">
        <v>0</v>
      </c>
      <c r="W7" s="151"/>
      <c r="X7" s="131">
        <v>3.6215999999999999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761.8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57.95</v>
      </c>
      <c r="N8" s="127">
        <f t="shared" si="0"/>
        <v>28.83</v>
      </c>
      <c r="O8" s="57" t="e">
        <f>(#REF!/L8)</f>
        <v>#REF!</v>
      </c>
      <c r="P8" s="60">
        <v>0.4</v>
      </c>
      <c r="Q8" s="57">
        <f>ROUND((P8*1000000/(24*3600)),2)</f>
        <v>4.63</v>
      </c>
      <c r="R8" s="60"/>
      <c r="S8" s="147">
        <v>0</v>
      </c>
      <c r="T8" s="147">
        <v>0</v>
      </c>
      <c r="U8" s="60">
        <f t="shared" si="1"/>
        <v>0</v>
      </c>
      <c r="V8" s="60">
        <v>13.4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2611.3000000000002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44.3</v>
      </c>
      <c r="N9" s="126">
        <f t="shared" si="0"/>
        <v>29.71</v>
      </c>
      <c r="O9" s="58" t="e">
        <f>(#REF!/L9)</f>
        <v>#REF!</v>
      </c>
      <c r="P9" s="59">
        <v>1.5099</v>
      </c>
      <c r="Q9" s="58">
        <f t="shared" si="2"/>
        <v>17.48</v>
      </c>
      <c r="R9" s="59">
        <v>0.70289999999999997</v>
      </c>
      <c r="S9" s="149">
        <v>0</v>
      </c>
      <c r="T9" s="149">
        <v>0</v>
      </c>
      <c r="U9" s="59">
        <f t="shared" si="1"/>
        <v>0.70289999999999997</v>
      </c>
      <c r="V9" s="59">
        <v>4</v>
      </c>
      <c r="W9" s="151"/>
      <c r="X9" s="131">
        <v>0.45269999999999999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1569.6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3.89</v>
      </c>
      <c r="N10" s="127">
        <f t="shared" si="0"/>
        <v>7.1</v>
      </c>
      <c r="O10" s="57" t="e">
        <f>(#REF!/L10)</f>
        <v>#REF!</v>
      </c>
      <c r="P10" s="60">
        <v>0.23899999999999999</v>
      </c>
      <c r="Q10" s="57">
        <f t="shared" si="2"/>
        <v>2.77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1195.73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11.301</v>
      </c>
      <c r="N11" s="126">
        <f t="shared" si="0"/>
        <v>22.68</v>
      </c>
      <c r="O11" s="58" t="e">
        <f>(#REF!/L11)</f>
        <v>#REF!</v>
      </c>
      <c r="P11" s="59">
        <v>5.21E-2</v>
      </c>
      <c r="Q11" s="59">
        <f t="shared" si="2"/>
        <v>0.6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18.709499999999998</v>
      </c>
      <c r="N12" s="127">
        <f t="shared" si="0"/>
        <v>39.47</v>
      </c>
      <c r="O12" s="57" t="e">
        <f>(#REF!/L12)</f>
        <v>#REF!</v>
      </c>
      <c r="P12" s="60">
        <v>0.17960000000000001</v>
      </c>
      <c r="Q12" s="57">
        <f t="shared" si="2"/>
        <v>2.08</v>
      </c>
      <c r="R12" s="60">
        <v>1.1436999999999999</v>
      </c>
      <c r="S12" s="147">
        <v>0</v>
      </c>
      <c r="T12" s="147">
        <v>0</v>
      </c>
      <c r="U12" s="60">
        <f>R12+S12</f>
        <v>1.1436999999999999</v>
      </c>
      <c r="V12" s="60">
        <v>0</v>
      </c>
      <c r="W12" s="150"/>
      <c r="X12" s="131">
        <v>0.46970000000000001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748.8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13.4915</v>
      </c>
      <c r="N13" s="126">
        <f t="shared" si="0"/>
        <v>39.700000000000003</v>
      </c>
      <c r="O13" s="58" t="e">
        <f>(#REF!/L13)</f>
        <v>#REF!</v>
      </c>
      <c r="P13" s="59">
        <v>0.4103</v>
      </c>
      <c r="Q13" s="58">
        <f t="shared" si="2"/>
        <v>4.75</v>
      </c>
      <c r="R13" s="59">
        <v>1.409</v>
      </c>
      <c r="S13" s="149">
        <v>0</v>
      </c>
      <c r="T13" s="149">
        <v>0</v>
      </c>
      <c r="U13" s="59">
        <f t="shared" si="1"/>
        <v>1.409</v>
      </c>
      <c r="V13" s="59">
        <v>20</v>
      </c>
      <c r="W13" s="152"/>
      <c r="X13" s="131">
        <v>1.9903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964.65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1.1299999999999999</v>
      </c>
      <c r="N14" s="127">
        <f t="shared" si="0"/>
        <v>3.63</v>
      </c>
      <c r="O14" s="57" t="e">
        <f>(#REF!/L14)</f>
        <v>#REF!</v>
      </c>
      <c r="P14" s="60">
        <v>1.2889999999999999</v>
      </c>
      <c r="Q14" s="57">
        <f>ROUND((P14*1000000/(24*3600)),2)</f>
        <v>14.92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416.4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11.9</v>
      </c>
      <c r="N15" s="126">
        <f t="shared" si="0"/>
        <v>39.270000000000003</v>
      </c>
      <c r="O15" s="58" t="e">
        <f>(#REF!/L15)</f>
        <v>#REF!</v>
      </c>
      <c r="P15" s="59">
        <v>1.974</v>
      </c>
      <c r="Q15" s="58">
        <f t="shared" si="2"/>
        <v>22.85</v>
      </c>
      <c r="R15" s="59">
        <v>2.6739999999999999</v>
      </c>
      <c r="S15" s="149">
        <v>0</v>
      </c>
      <c r="T15" s="149">
        <f>Y15</f>
        <v>0</v>
      </c>
      <c r="U15" s="59">
        <f t="shared" si="1"/>
        <v>2.6739999999999999</v>
      </c>
      <c r="V15" s="59">
        <v>8</v>
      </c>
      <c r="W15" s="151" t="s">
        <v>136</v>
      </c>
      <c r="X15" s="131">
        <v>1.0496399999999999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1747.85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1.8460000000000001</v>
      </c>
      <c r="N16" s="127">
        <f t="shared" si="0"/>
        <v>24.13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452.65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4.04</v>
      </c>
      <c r="N17" s="126">
        <f t="shared" si="0"/>
        <v>62.83</v>
      </c>
      <c r="O17" s="58" t="e">
        <f>(#REF!/L17)</f>
        <v>#REF!</v>
      </c>
      <c r="P17" s="59">
        <v>2.6191</v>
      </c>
      <c r="Q17" s="57">
        <f t="shared" si="2"/>
        <v>30.31</v>
      </c>
      <c r="R17" s="59">
        <v>2.3894000000000002</v>
      </c>
      <c r="S17" s="149">
        <v>0</v>
      </c>
      <c r="T17" s="149">
        <v>0</v>
      </c>
      <c r="U17" s="59">
        <f t="shared" si="1"/>
        <v>2.3894000000000002</v>
      </c>
      <c r="V17" s="59">
        <v>0</v>
      </c>
      <c r="W17" s="150"/>
      <c r="X17" s="131">
        <v>1.1217999999999999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278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2.5099999999999998</v>
      </c>
      <c r="N19" s="126">
        <f t="shared" si="0"/>
        <v>55.16</v>
      </c>
      <c r="O19" s="58" t="e">
        <f>(#REF!/L19)</f>
        <v>#REF!</v>
      </c>
      <c r="P19" s="59">
        <v>2.9893999999999998</v>
      </c>
      <c r="Q19" s="57">
        <f t="shared" si="2"/>
        <v>34.6</v>
      </c>
      <c r="R19" s="59">
        <v>3.3014000000000001</v>
      </c>
      <c r="S19" s="149">
        <v>0</v>
      </c>
      <c r="T19" s="149">
        <v>0</v>
      </c>
      <c r="U19" s="59">
        <f t="shared" si="1"/>
        <v>3.3014000000000001</v>
      </c>
      <c r="V19" s="59">
        <v>0</v>
      </c>
      <c r="W19" s="151"/>
      <c r="X19" s="131">
        <v>1.52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186.7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0.435</v>
      </c>
      <c r="N20" s="127">
        <f t="shared" si="0"/>
        <v>37.5</v>
      </c>
      <c r="O20" s="57" t="e">
        <f>(#REF!/L20)</f>
        <v>#REF!</v>
      </c>
      <c r="P20" s="60">
        <v>1.6954</v>
      </c>
      <c r="Q20" s="57">
        <f t="shared" si="2"/>
        <v>19.62</v>
      </c>
      <c r="R20" s="60">
        <v>1.8383</v>
      </c>
      <c r="S20" s="147">
        <v>0</v>
      </c>
      <c r="T20" s="153">
        <v>0</v>
      </c>
      <c r="U20" s="60">
        <f t="shared" si="1"/>
        <v>1.8383</v>
      </c>
      <c r="V20" s="60">
        <v>0</v>
      </c>
      <c r="W20" s="154"/>
      <c r="X20" s="131">
        <v>0.56562999999999997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0.16500000000000001</v>
      </c>
      <c r="N22" s="139">
        <f t="shared" si="0"/>
        <v>42.31</v>
      </c>
      <c r="O22" s="115" t="e">
        <f>(#REF!/L22)</f>
        <v>#REF!</v>
      </c>
      <c r="P22" s="116">
        <v>0.80249999999999999</v>
      </c>
      <c r="Q22" s="57">
        <f t="shared" si="2"/>
        <v>9.2899999999999991</v>
      </c>
      <c r="R22" s="116">
        <v>0.80249999999999999</v>
      </c>
      <c r="S22" s="153">
        <v>0</v>
      </c>
      <c r="T22" s="153">
        <v>0</v>
      </c>
      <c r="U22" s="116">
        <f t="shared" si="1"/>
        <v>0.80249999999999999</v>
      </c>
      <c r="V22" s="116">
        <v>0</v>
      </c>
      <c r="W22" s="156"/>
      <c r="X22" s="131">
        <v>0.63190000000000002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1092.1199999999999</v>
      </c>
      <c r="N23" s="189">
        <f t="shared" si="0"/>
        <v>30.79</v>
      </c>
      <c r="O23" s="189" t="e">
        <f>(#REF!/L23)</f>
        <v>#REF!</v>
      </c>
      <c r="P23" s="89"/>
      <c r="Q23" s="189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J6" sqref="J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152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2327.2199999999998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409.97500000000002</v>
      </c>
      <c r="N5" s="126">
        <f t="shared" ref="N5:N23" si="0">ROUND((M5/L5)*100,2)</f>
        <v>28.09</v>
      </c>
      <c r="O5" s="58" t="e">
        <f>(#REF!/L5)</f>
        <v>#REF!</v>
      </c>
      <c r="P5" s="59">
        <v>3.38</v>
      </c>
      <c r="Q5" s="58">
        <f>ROUND((P5*1000000/(24*3600)),2)</f>
        <v>39.119999999999997</v>
      </c>
      <c r="R5" s="59">
        <v>5.7934999999999999</v>
      </c>
      <c r="S5" s="149">
        <v>0</v>
      </c>
      <c r="T5" s="149">
        <v>0</v>
      </c>
      <c r="U5" s="59">
        <f t="shared" ref="U5:U22" si="1">R5+S5</f>
        <v>5.7934999999999999</v>
      </c>
      <c r="V5" s="59">
        <v>12.2</v>
      </c>
      <c r="W5" s="152"/>
      <c r="X5" s="131">
        <v>8.4160000000000004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143.30000000000001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373.05500000000001</v>
      </c>
      <c r="N6" s="127">
        <f t="shared" si="0"/>
        <v>36.65</v>
      </c>
      <c r="O6" s="57" t="e">
        <f>(#REF!/L6)</f>
        <v>#REF!</v>
      </c>
      <c r="P6" s="60">
        <v>3.1516000000000002</v>
      </c>
      <c r="Q6" s="57">
        <f>ROUND((P6*1000000/(24*3600)),2)</f>
        <v>36.479999999999997</v>
      </c>
      <c r="R6" s="60">
        <v>1.4096</v>
      </c>
      <c r="S6" s="147">
        <v>0</v>
      </c>
      <c r="T6" s="147">
        <v>0</v>
      </c>
      <c r="U6" s="60">
        <f t="shared" si="1"/>
        <v>1.4096</v>
      </c>
      <c r="V6" s="60">
        <v>7</v>
      </c>
      <c r="W6" s="148"/>
      <c r="X6" s="131">
        <v>0.35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953.97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135.69</v>
      </c>
      <c r="N7" s="126">
        <f t="shared" si="0"/>
        <v>30.39</v>
      </c>
      <c r="O7" s="58" t="e">
        <f>(#REF!/L7)</f>
        <v>#REF!</v>
      </c>
      <c r="P7" s="59">
        <v>1.6584000000000001</v>
      </c>
      <c r="Q7" s="58">
        <f t="shared" ref="Q7:Q22" si="2">ROUND((P7*1000000/(24*3600)),2)</f>
        <v>19.190000000000001</v>
      </c>
      <c r="R7" s="59">
        <v>1.6584000000000001</v>
      </c>
      <c r="S7" s="149">
        <v>0</v>
      </c>
      <c r="T7" s="149">
        <v>0</v>
      </c>
      <c r="U7" s="59">
        <f t="shared" si="1"/>
        <v>1.6584000000000001</v>
      </c>
      <c r="V7" s="59">
        <v>14</v>
      </c>
      <c r="W7" s="151"/>
      <c r="X7" s="131">
        <v>2.6749000000000001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761.9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58.75</v>
      </c>
      <c r="N8" s="127">
        <f t="shared" si="0"/>
        <v>29.23</v>
      </c>
      <c r="O8" s="57" t="e">
        <f>(#REF!/L8)</f>
        <v>#REF!</v>
      </c>
      <c r="P8" s="60">
        <v>0.8</v>
      </c>
      <c r="Q8" s="57">
        <f>ROUND((P8*1000000/(24*3600)),2)</f>
        <v>9.26</v>
      </c>
      <c r="R8" s="60"/>
      <c r="S8" s="147">
        <v>0</v>
      </c>
      <c r="T8" s="147">
        <v>0</v>
      </c>
      <c r="U8" s="60">
        <f t="shared" si="1"/>
        <v>0</v>
      </c>
      <c r="V8" s="60">
        <v>19.399999999999999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2612.1999999999998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45.53</v>
      </c>
      <c r="N9" s="126">
        <f t="shared" si="0"/>
        <v>30.54</v>
      </c>
      <c r="O9" s="58" t="e">
        <f>(#REF!/L9)</f>
        <v>#REF!</v>
      </c>
      <c r="P9" s="59">
        <v>1.5742</v>
      </c>
      <c r="Q9" s="58">
        <f t="shared" si="2"/>
        <v>18.22</v>
      </c>
      <c r="R9" s="59">
        <v>0.34520000000000001</v>
      </c>
      <c r="S9" s="149">
        <v>0</v>
      </c>
      <c r="T9" s="149">
        <v>0</v>
      </c>
      <c r="U9" s="59">
        <f t="shared" si="1"/>
        <v>0.34520000000000001</v>
      </c>
      <c r="V9" s="59">
        <v>9</v>
      </c>
      <c r="W9" s="151"/>
      <c r="X9" s="131">
        <v>0.22239999999999999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1569.25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3.54</v>
      </c>
      <c r="N10" s="127">
        <f t="shared" si="0"/>
        <v>6.46</v>
      </c>
      <c r="O10" s="57" t="e">
        <f>(#REF!/L10)</f>
        <v>#REF!</v>
      </c>
      <c r="P10" s="60">
        <v>0.13900000000000001</v>
      </c>
      <c r="Q10" s="57">
        <f t="shared" si="2"/>
        <v>1.61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1195.75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11.335599999999999</v>
      </c>
      <c r="N11" s="126">
        <f t="shared" si="0"/>
        <v>22.75</v>
      </c>
      <c r="O11" s="58" t="e">
        <f>(#REF!/L11)</f>
        <v>#REF!</v>
      </c>
      <c r="P11" s="59">
        <v>3.4599999999999999E-2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692.7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18.235900000000001</v>
      </c>
      <c r="N12" s="127">
        <f t="shared" si="0"/>
        <v>38.47</v>
      </c>
      <c r="O12" s="57" t="e">
        <f>(#REF!/L12)</f>
        <v>#REF!</v>
      </c>
      <c r="P12" s="60">
        <v>0.45290000000000002</v>
      </c>
      <c r="Q12" s="57">
        <f t="shared" si="2"/>
        <v>5.24</v>
      </c>
      <c r="R12" s="60">
        <v>0.92649999999999999</v>
      </c>
      <c r="S12" s="147">
        <v>0</v>
      </c>
      <c r="T12" s="147">
        <v>0</v>
      </c>
      <c r="U12" s="60">
        <f>R12+S12</f>
        <v>0.92649999999999999</v>
      </c>
      <c r="V12" s="60">
        <v>12</v>
      </c>
      <c r="W12" s="150"/>
      <c r="X12" s="131">
        <v>0.3805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748.5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12.962999999999999</v>
      </c>
      <c r="N13" s="126">
        <f t="shared" si="0"/>
        <v>38.15</v>
      </c>
      <c r="O13" s="58" t="e">
        <f>(#REF!/L13)</f>
        <v>#REF!</v>
      </c>
      <c r="P13" s="59">
        <v>0.99960000000000004</v>
      </c>
      <c r="Q13" s="58">
        <f t="shared" si="2"/>
        <v>11.57</v>
      </c>
      <c r="R13" s="59">
        <v>1.5281</v>
      </c>
      <c r="S13" s="149">
        <v>0</v>
      </c>
      <c r="T13" s="149">
        <v>0</v>
      </c>
      <c r="U13" s="59">
        <f t="shared" si="1"/>
        <v>1.5281</v>
      </c>
      <c r="V13" s="59">
        <v>42</v>
      </c>
      <c r="W13" s="152"/>
      <c r="X13" s="131">
        <v>2.1533000000000002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964.55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1.05</v>
      </c>
      <c r="N14" s="127">
        <f t="shared" si="0"/>
        <v>3.37</v>
      </c>
      <c r="O14" s="57" t="e">
        <f>(#REF!/L14)</f>
        <v>#REF!</v>
      </c>
      <c r="P14" s="60">
        <v>1.171</v>
      </c>
      <c r="Q14" s="57">
        <f>ROUND((P14*1000000/(24*3600)),2)</f>
        <v>13.55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416.35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11.8</v>
      </c>
      <c r="N15" s="126">
        <f t="shared" si="0"/>
        <v>38.94</v>
      </c>
      <c r="O15" s="58" t="e">
        <f>(#REF!/L15)</f>
        <v>#REF!</v>
      </c>
      <c r="P15" s="59">
        <v>2.3258000000000001</v>
      </c>
      <c r="Q15" s="58">
        <f t="shared" si="2"/>
        <v>26.92</v>
      </c>
      <c r="R15" s="59">
        <v>2.4258000000000002</v>
      </c>
      <c r="S15" s="149">
        <v>0</v>
      </c>
      <c r="T15" s="149">
        <f>Y15</f>
        <v>0</v>
      </c>
      <c r="U15" s="59">
        <f t="shared" si="1"/>
        <v>2.4258000000000002</v>
      </c>
      <c r="V15" s="59">
        <v>32.4</v>
      </c>
      <c r="W15" s="151" t="s">
        <v>136</v>
      </c>
      <c r="X15" s="131">
        <v>0.95293000000000005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1747.95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1.8819999999999999</v>
      </c>
      <c r="N16" s="127">
        <f t="shared" si="0"/>
        <v>24.6</v>
      </c>
      <c r="O16" s="57" t="e">
        <f>(#REF!/L16)</f>
        <v>#REF!</v>
      </c>
      <c r="P16" s="60">
        <v>3.5999999999999997E-2</v>
      </c>
      <c r="Q16" s="57">
        <f t="shared" si="2"/>
        <v>0.42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1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452.2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3.8109999999999999</v>
      </c>
      <c r="N17" s="126">
        <f t="shared" si="0"/>
        <v>59.27</v>
      </c>
      <c r="O17" s="58" t="e">
        <f>(#REF!/L17)</f>
        <v>#REF!</v>
      </c>
      <c r="P17" s="59">
        <v>1.6314</v>
      </c>
      <c r="Q17" s="57">
        <f t="shared" si="2"/>
        <v>18.88</v>
      </c>
      <c r="R17" s="59">
        <v>1.861</v>
      </c>
      <c r="S17" s="149">
        <v>0</v>
      </c>
      <c r="T17" s="149">
        <v>0</v>
      </c>
      <c r="U17" s="59">
        <f t="shared" si="1"/>
        <v>1.861</v>
      </c>
      <c r="V17" s="59">
        <v>9</v>
      </c>
      <c r="W17" s="150"/>
      <c r="X17" s="131">
        <v>0.87219999999999998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248.2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2.5880000000000001</v>
      </c>
      <c r="N19" s="126">
        <f t="shared" si="0"/>
        <v>56.88</v>
      </c>
      <c r="O19" s="58" t="e">
        <f>(#REF!/L19)</f>
        <v>#REF!</v>
      </c>
      <c r="P19" s="59">
        <v>2.6214</v>
      </c>
      <c r="Q19" s="57">
        <f t="shared" si="2"/>
        <v>30.34</v>
      </c>
      <c r="R19" s="59">
        <v>2.5434000000000001</v>
      </c>
      <c r="S19" s="149">
        <v>0</v>
      </c>
      <c r="T19" s="149">
        <v>0</v>
      </c>
      <c r="U19" s="59">
        <f t="shared" si="1"/>
        <v>2.5434000000000001</v>
      </c>
      <c r="V19" s="59">
        <v>13</v>
      </c>
      <c r="W19" s="151"/>
      <c r="X19" s="131">
        <v>1.171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187.7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0.53900000000000003</v>
      </c>
      <c r="N20" s="127">
        <f t="shared" si="0"/>
        <v>46.47</v>
      </c>
      <c r="O20" s="57" t="e">
        <f>(#REF!/L20)</f>
        <v>#REF!</v>
      </c>
      <c r="P20" s="60">
        <v>1.5495000000000001</v>
      </c>
      <c r="Q20" s="57">
        <f t="shared" si="2"/>
        <v>17.93</v>
      </c>
      <c r="R20" s="60">
        <v>1.6269</v>
      </c>
      <c r="S20" s="147">
        <v>0</v>
      </c>
      <c r="T20" s="153">
        <v>0</v>
      </c>
      <c r="U20" s="60">
        <f t="shared" si="1"/>
        <v>1.6269</v>
      </c>
      <c r="V20" s="60">
        <v>5</v>
      </c>
      <c r="W20" s="154"/>
      <c r="X20" s="131">
        <v>0.50058000000000002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820.3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0.19489999999999999</v>
      </c>
      <c r="N21" s="126">
        <f t="shared" si="0"/>
        <v>25.54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846.55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3.8109999999999999</v>
      </c>
      <c r="N22" s="139">
        <f t="shared" si="0"/>
        <v>977.18</v>
      </c>
      <c r="O22" s="115" t="e">
        <f>(#REF!/L22)</f>
        <v>#REF!</v>
      </c>
      <c r="P22" s="116">
        <v>1.6314</v>
      </c>
      <c r="Q22" s="57">
        <f t="shared" si="2"/>
        <v>18.88</v>
      </c>
      <c r="R22" s="116">
        <v>1.861</v>
      </c>
      <c r="S22" s="153">
        <v>0</v>
      </c>
      <c r="T22" s="153">
        <v>0</v>
      </c>
      <c r="U22" s="116">
        <f t="shared" si="1"/>
        <v>1.861</v>
      </c>
      <c r="V22" s="116">
        <v>9</v>
      </c>
      <c r="W22" s="156"/>
      <c r="X22" s="131">
        <v>0.87219999999999998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1095.46</v>
      </c>
      <c r="N23" s="190">
        <f t="shared" si="0"/>
        <v>30.88</v>
      </c>
      <c r="O23" s="190" t="e">
        <f>(#REF!/L23)</f>
        <v>#REF!</v>
      </c>
      <c r="P23" s="89"/>
      <c r="Q23" s="190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J8" sqref="J8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2327.2199999999998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409.97500000000002</v>
      </c>
      <c r="N5" s="126">
        <f t="shared" ref="N5:N23" si="0">ROUND((M5/L5)*100,2)</f>
        <v>28.09</v>
      </c>
      <c r="O5" s="58" t="e">
        <f>(#REF!/L5)</f>
        <v>#REF!</v>
      </c>
      <c r="P5" s="59">
        <v>3.5619999999999998</v>
      </c>
      <c r="Q5" s="58">
        <f>ROUND((P5*1000000/(24*3600)),2)</f>
        <v>41.23</v>
      </c>
      <c r="R5" s="59">
        <v>3.4068000000000001</v>
      </c>
      <c r="S5" s="149">
        <v>0</v>
      </c>
      <c r="T5" s="149">
        <v>0</v>
      </c>
      <c r="U5" s="59">
        <f t="shared" ref="U5:U22" si="1">R5+S5</f>
        <v>3.4068000000000001</v>
      </c>
      <c r="V5" s="59">
        <v>12</v>
      </c>
      <c r="W5" s="152"/>
      <c r="X5" s="131">
        <v>4.9489999999999998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143.36000000000001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374.21600000000001</v>
      </c>
      <c r="N6" s="127">
        <f t="shared" si="0"/>
        <v>36.770000000000003</v>
      </c>
      <c r="O6" s="57" t="e">
        <f>(#REF!/L6)</f>
        <v>#REF!</v>
      </c>
      <c r="P6" s="60">
        <v>2.1855000000000002</v>
      </c>
      <c r="Q6" s="57">
        <f>ROUND((P6*1000000/(24*3600)),2)</f>
        <v>25.3</v>
      </c>
      <c r="R6" s="60">
        <v>1.0043</v>
      </c>
      <c r="S6" s="147">
        <v>0</v>
      </c>
      <c r="T6" s="147">
        <v>0</v>
      </c>
      <c r="U6" s="60">
        <f t="shared" si="1"/>
        <v>1.0043</v>
      </c>
      <c r="V6" s="60">
        <v>11.4</v>
      </c>
      <c r="W6" s="148"/>
      <c r="X6" s="131">
        <v>0.2495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954.05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136.25</v>
      </c>
      <c r="N7" s="126">
        <f t="shared" si="0"/>
        <v>30.51</v>
      </c>
      <c r="O7" s="58" t="e">
        <f>(#REF!/L7)</f>
        <v>#REF!</v>
      </c>
      <c r="P7" s="59">
        <v>2.1244000000000001</v>
      </c>
      <c r="Q7" s="58">
        <f t="shared" ref="Q7:Q22" si="2">ROUND((P7*1000000/(24*3600)),2)</f>
        <v>24.59</v>
      </c>
      <c r="R7" s="59">
        <v>1.5644</v>
      </c>
      <c r="S7" s="149">
        <v>0</v>
      </c>
      <c r="T7" s="149">
        <v>0</v>
      </c>
      <c r="U7" s="59">
        <f t="shared" si="1"/>
        <v>1.5644</v>
      </c>
      <c r="V7" s="59">
        <v>6</v>
      </c>
      <c r="W7" s="151"/>
      <c r="X7" s="131">
        <v>2.5232999999999999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762.05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59.95</v>
      </c>
      <c r="N8" s="127">
        <f t="shared" si="0"/>
        <v>29.83</v>
      </c>
      <c r="O8" s="57" t="e">
        <f>(#REF!/L8)</f>
        <v>#REF!</v>
      </c>
      <c r="P8" s="60">
        <v>1.2</v>
      </c>
      <c r="Q8" s="57">
        <f>ROUND((P8*1000000/(24*3600)),2)</f>
        <v>13.89</v>
      </c>
      <c r="R8" s="60"/>
      <c r="S8" s="147">
        <v>0</v>
      </c>
      <c r="T8" s="147">
        <v>0</v>
      </c>
      <c r="U8" s="60">
        <f t="shared" si="1"/>
        <v>0</v>
      </c>
      <c r="V8" s="60">
        <v>15.6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2613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46.64</v>
      </c>
      <c r="N9" s="126">
        <f t="shared" si="0"/>
        <v>31.28</v>
      </c>
      <c r="O9" s="58" t="e">
        <f>(#REF!/L9)</f>
        <v>#REF!</v>
      </c>
      <c r="P9" s="59">
        <v>1.2559</v>
      </c>
      <c r="Q9" s="58">
        <f t="shared" si="2"/>
        <v>14.54</v>
      </c>
      <c r="R9" s="59">
        <v>0.14580000000000001</v>
      </c>
      <c r="S9" s="149">
        <v>0</v>
      </c>
      <c r="T9" s="149">
        <v>0</v>
      </c>
      <c r="U9" s="59">
        <f t="shared" si="1"/>
        <v>0.14580000000000001</v>
      </c>
      <c r="V9" s="59">
        <v>7</v>
      </c>
      <c r="W9" s="151"/>
      <c r="X9" s="131">
        <v>9.4100000000000003E-2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1568.9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3.19</v>
      </c>
      <c r="N10" s="127">
        <f t="shared" si="0"/>
        <v>5.82</v>
      </c>
      <c r="O10" s="57" t="e">
        <f>(#REF!/L10)</f>
        <v>#REF!</v>
      </c>
      <c r="P10" s="60">
        <v>0.13900000000000001</v>
      </c>
      <c r="Q10" s="57">
        <f t="shared" si="2"/>
        <v>1.61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1195.76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11.353</v>
      </c>
      <c r="N11" s="126">
        <f t="shared" si="0"/>
        <v>22.78</v>
      </c>
      <c r="O11" s="58" t="e">
        <f>(#REF!/L11)</f>
        <v>#REF!</v>
      </c>
      <c r="P11" s="59">
        <v>1.7399999999999999E-2</v>
      </c>
      <c r="Q11" s="59">
        <f t="shared" si="2"/>
        <v>0.2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692.25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17.525300000000001</v>
      </c>
      <c r="N12" s="127">
        <f t="shared" si="0"/>
        <v>36.97</v>
      </c>
      <c r="O12" s="57" t="e">
        <f>(#REF!/L12)</f>
        <v>#REF!</v>
      </c>
      <c r="P12" s="60">
        <v>0.39439999999999997</v>
      </c>
      <c r="Q12" s="57">
        <f t="shared" si="2"/>
        <v>4.5599999999999996</v>
      </c>
      <c r="R12" s="60">
        <v>1.105</v>
      </c>
      <c r="S12" s="147">
        <v>0</v>
      </c>
      <c r="T12" s="147">
        <v>0</v>
      </c>
      <c r="U12" s="60">
        <f>R12+S12</f>
        <v>1.105</v>
      </c>
      <c r="V12" s="60">
        <v>4</v>
      </c>
      <c r="W12" s="150"/>
      <c r="X12" s="131">
        <v>0.45379999999999998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748.89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13.647</v>
      </c>
      <c r="N13" s="126">
        <f t="shared" si="0"/>
        <v>40.159999999999997</v>
      </c>
      <c r="O13" s="58" t="e">
        <f>(#REF!/L13)</f>
        <v>#REF!</v>
      </c>
      <c r="P13" s="59">
        <v>1.3842000000000001</v>
      </c>
      <c r="Q13" s="58">
        <f t="shared" si="2"/>
        <v>16.02</v>
      </c>
      <c r="R13" s="59">
        <v>0.70020000000000004</v>
      </c>
      <c r="S13" s="149">
        <v>0</v>
      </c>
      <c r="T13" s="149">
        <v>0</v>
      </c>
      <c r="U13" s="59">
        <f t="shared" si="1"/>
        <v>0.70020000000000004</v>
      </c>
      <c r="V13" s="59">
        <v>14</v>
      </c>
      <c r="W13" s="152"/>
      <c r="X13" s="131">
        <v>0.98950000000000005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1.01</v>
      </c>
      <c r="N14" s="127">
        <f t="shared" si="0"/>
        <v>3.24</v>
      </c>
      <c r="O14" s="57" t="e">
        <f>(#REF!/L14)</f>
        <v>#REF!</v>
      </c>
      <c r="P14" s="60">
        <v>1.115</v>
      </c>
      <c r="Q14" s="57">
        <f>ROUND((P14*1000000/(24*3600)),2)</f>
        <v>12.91</v>
      </c>
      <c r="R14" s="60"/>
      <c r="S14" s="147">
        <v>0</v>
      </c>
      <c r="T14" s="147">
        <v>0</v>
      </c>
      <c r="U14" s="60">
        <f t="shared" si="1"/>
        <v>0</v>
      </c>
      <c r="V14" s="60">
        <v>8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416.15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11.4</v>
      </c>
      <c r="N15" s="126">
        <f t="shared" si="0"/>
        <v>37.619999999999997</v>
      </c>
      <c r="O15" s="58" t="e">
        <f>(#REF!/L15)</f>
        <v>#REF!</v>
      </c>
      <c r="P15" s="59">
        <v>1.0014000000000001</v>
      </c>
      <c r="Q15" s="58">
        <f t="shared" si="2"/>
        <v>11.59</v>
      </c>
      <c r="R15" s="59">
        <v>1.4014</v>
      </c>
      <c r="S15" s="149">
        <v>0</v>
      </c>
      <c r="T15" s="149">
        <f>Y15</f>
        <v>0</v>
      </c>
      <c r="U15" s="59">
        <f t="shared" si="1"/>
        <v>1.4014</v>
      </c>
      <c r="V15" s="59">
        <v>7.4</v>
      </c>
      <c r="W15" s="151" t="s">
        <v>136</v>
      </c>
      <c r="X15" s="131">
        <v>0.56927899999999998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1.9</v>
      </c>
      <c r="N16" s="127">
        <f t="shared" si="0"/>
        <v>24.84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453.15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4.2960000000000003</v>
      </c>
      <c r="N17" s="126">
        <f t="shared" si="0"/>
        <v>66.81</v>
      </c>
      <c r="O17" s="58" t="e">
        <f>(#REF!/L17)</f>
        <v>#REF!</v>
      </c>
      <c r="P17" s="59">
        <v>2.4420999999999999</v>
      </c>
      <c r="Q17" s="57">
        <f t="shared" si="2"/>
        <v>28.27</v>
      </c>
      <c r="R17" s="59">
        <v>1.9574</v>
      </c>
      <c r="S17" s="149">
        <v>0</v>
      </c>
      <c r="T17" s="149">
        <v>0</v>
      </c>
      <c r="U17" s="59">
        <f t="shared" si="1"/>
        <v>1.9574</v>
      </c>
      <c r="V17" s="59">
        <v>9</v>
      </c>
      <c r="W17" s="150"/>
      <c r="X17" s="131">
        <v>0.91990000000000005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248.7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2.7829999999999999</v>
      </c>
      <c r="N19" s="126">
        <f t="shared" si="0"/>
        <v>61.16</v>
      </c>
      <c r="O19" s="58" t="e">
        <f>(#REF!/L19)</f>
        <v>#REF!</v>
      </c>
      <c r="P19" s="59">
        <v>3.1858</v>
      </c>
      <c r="Q19" s="57">
        <f t="shared" si="2"/>
        <v>36.869999999999997</v>
      </c>
      <c r="R19" s="59">
        <v>2.9908000000000001</v>
      </c>
      <c r="S19" s="149">
        <v>0</v>
      </c>
      <c r="T19" s="149">
        <v>0</v>
      </c>
      <c r="U19" s="59">
        <f t="shared" si="1"/>
        <v>2.9908000000000001</v>
      </c>
      <c r="V19" s="59">
        <v>13</v>
      </c>
      <c r="W19" s="151"/>
      <c r="X19" s="131">
        <v>1.377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186.3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0.39500000000000002</v>
      </c>
      <c r="N20" s="127">
        <f t="shared" si="0"/>
        <v>34.049999999999997</v>
      </c>
      <c r="O20" s="57" t="e">
        <f>(#REF!/L20)</f>
        <v>#REF!</v>
      </c>
      <c r="P20" s="60">
        <v>0.85170000000000001</v>
      </c>
      <c r="Q20" s="57">
        <f t="shared" si="2"/>
        <v>9.86</v>
      </c>
      <c r="R20" s="60">
        <v>1.4517</v>
      </c>
      <c r="S20" s="147">
        <v>0</v>
      </c>
      <c r="T20" s="153">
        <v>0</v>
      </c>
      <c r="U20" s="60">
        <f t="shared" si="1"/>
        <v>1.4517</v>
      </c>
      <c r="V20" s="60">
        <v>9</v>
      </c>
      <c r="W20" s="154"/>
      <c r="X20" s="131">
        <v>0.44668000000000002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0.154</v>
      </c>
      <c r="N22" s="139">
        <f t="shared" si="0"/>
        <v>39.49</v>
      </c>
      <c r="O22" s="115" t="e">
        <f>(#REF!/L22)</f>
        <v>#REF!</v>
      </c>
      <c r="P22" s="116">
        <v>0.79869999999999997</v>
      </c>
      <c r="Q22" s="57">
        <f t="shared" si="2"/>
        <v>9.24</v>
      </c>
      <c r="R22" s="116">
        <v>0.77507999999999999</v>
      </c>
      <c r="S22" s="153">
        <v>0</v>
      </c>
      <c r="T22" s="153">
        <v>0</v>
      </c>
      <c r="U22" s="116">
        <f t="shared" si="1"/>
        <v>0.77507999999999999</v>
      </c>
      <c r="V22" s="116">
        <v>1.2</v>
      </c>
      <c r="W22" s="156"/>
      <c r="X22" s="131">
        <v>0.61029999999999995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1095.5899999999999</v>
      </c>
      <c r="N23" s="191">
        <f t="shared" si="0"/>
        <v>30.88</v>
      </c>
      <c r="O23" s="191" t="e">
        <f>(#REF!/L23)</f>
        <v>#REF!</v>
      </c>
      <c r="P23" s="89"/>
      <c r="Q23" s="191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28515625" style="52" customWidth="1"/>
    <col min="21" max="21" width="11.5703125" style="52" customWidth="1"/>
    <col min="22" max="22" width="9.42578125" style="171" customWidth="1"/>
    <col min="23" max="23" width="24.285156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2327.52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413.18700000000001</v>
      </c>
      <c r="N5" s="126">
        <f t="shared" ref="N5:N23" si="0">ROUND((M5/L5)*100,2)</f>
        <v>28.31</v>
      </c>
      <c r="O5" s="58" t="e">
        <f>(#REF!/L5)</f>
        <v>#REF!</v>
      </c>
      <c r="P5" s="59">
        <v>5.8410000000000002</v>
      </c>
      <c r="Q5" s="58">
        <f>ROUND((P5*1000000/(24*3600)),2)</f>
        <v>67.599999999999994</v>
      </c>
      <c r="R5" s="59">
        <v>2.4744000000000002</v>
      </c>
      <c r="S5" s="149">
        <v>0</v>
      </c>
      <c r="T5" s="149">
        <v>0</v>
      </c>
      <c r="U5" s="59">
        <f t="shared" ref="U5:U22" si="1">R5+S5</f>
        <v>2.4744000000000002</v>
      </c>
      <c r="V5" s="59">
        <v>64.400000000000006</v>
      </c>
      <c r="W5" s="152"/>
      <c r="X5" s="131">
        <v>3.5950000000000002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143.44999999999999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375.95699999999999</v>
      </c>
      <c r="N6" s="127">
        <f t="shared" si="0"/>
        <v>36.94</v>
      </c>
      <c r="O6" s="57" t="e">
        <f>(#REF!/L6)</f>
        <v>#REF!</v>
      </c>
      <c r="P6" s="60">
        <v>2.8948</v>
      </c>
      <c r="Q6" s="57">
        <f>ROUND((P6*1000000/(24*3600)),2)</f>
        <v>33.5</v>
      </c>
      <c r="R6" s="60">
        <v>1.1261000000000001</v>
      </c>
      <c r="S6" s="147">
        <v>0</v>
      </c>
      <c r="T6" s="147">
        <v>0</v>
      </c>
      <c r="U6" s="60">
        <f t="shared" si="1"/>
        <v>1.1261000000000001</v>
      </c>
      <c r="V6" s="60">
        <v>30.8</v>
      </c>
      <c r="W6" s="148"/>
      <c r="X6" s="131">
        <v>0.28000000000000003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954.17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137.09</v>
      </c>
      <c r="N7" s="126">
        <f t="shared" si="0"/>
        <v>30.7</v>
      </c>
      <c r="O7" s="58" t="e">
        <f>(#REF!/L7)</f>
        <v>#REF!</v>
      </c>
      <c r="P7" s="59">
        <v>1.4159999999999999</v>
      </c>
      <c r="Q7" s="58">
        <f t="shared" ref="Q7:Q22" si="2">ROUND((P7*1000000/(24*3600)),2)</f>
        <v>16.39</v>
      </c>
      <c r="R7" s="59">
        <v>0.57599999999999996</v>
      </c>
      <c r="S7" s="149">
        <v>0</v>
      </c>
      <c r="T7" s="149">
        <v>0</v>
      </c>
      <c r="U7" s="59">
        <f t="shared" si="1"/>
        <v>0.57599999999999996</v>
      </c>
      <c r="V7" s="59">
        <v>24</v>
      </c>
      <c r="W7" s="151"/>
      <c r="X7" s="131">
        <v>0.92900000000000005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762.25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61.55</v>
      </c>
      <c r="N8" s="127">
        <f t="shared" si="0"/>
        <v>30.62</v>
      </c>
      <c r="O8" s="57" t="e">
        <f>(#REF!/L8)</f>
        <v>#REF!</v>
      </c>
      <c r="P8" s="60">
        <v>1.6</v>
      </c>
      <c r="Q8" s="57">
        <f>ROUND((P8*1000000/(24*3600)),2)</f>
        <v>18.52</v>
      </c>
      <c r="R8" s="60"/>
      <c r="S8" s="147">
        <v>0</v>
      </c>
      <c r="T8" s="147">
        <v>0</v>
      </c>
      <c r="U8" s="60">
        <f t="shared" si="1"/>
        <v>0</v>
      </c>
      <c r="V8" s="60">
        <v>35.200000000000003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2614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48.05</v>
      </c>
      <c r="N9" s="126">
        <f t="shared" si="0"/>
        <v>32.229999999999997</v>
      </c>
      <c r="O9" s="58" t="e">
        <f>(#REF!/L9)</f>
        <v>#REF!</v>
      </c>
      <c r="P9" s="59">
        <v>1.4736</v>
      </c>
      <c r="Q9" s="58">
        <f t="shared" si="2"/>
        <v>17.059999999999999</v>
      </c>
      <c r="R9" s="59">
        <v>5.7799999999999997E-2</v>
      </c>
      <c r="S9" s="149">
        <v>0</v>
      </c>
      <c r="T9" s="149">
        <v>0</v>
      </c>
      <c r="U9" s="59">
        <f t="shared" si="1"/>
        <v>5.7799999999999997E-2</v>
      </c>
      <c r="V9" s="59">
        <v>23</v>
      </c>
      <c r="W9" s="151"/>
      <c r="X9" s="131">
        <v>3.73E-2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1568.55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2.84</v>
      </c>
      <c r="N10" s="127">
        <f t="shared" si="0"/>
        <v>5.19</v>
      </c>
      <c r="O10" s="57" t="e">
        <f>(#REF!/L10)</f>
        <v>#REF!</v>
      </c>
      <c r="P10" s="60">
        <v>0.13900000000000001</v>
      </c>
      <c r="Q10" s="57">
        <f t="shared" si="2"/>
        <v>1.61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5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1195.78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11.387700000000001</v>
      </c>
      <c r="N11" s="126">
        <f t="shared" si="0"/>
        <v>22.85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1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692.4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17.762</v>
      </c>
      <c r="N12" s="127">
        <f t="shared" si="0"/>
        <v>37.47</v>
      </c>
      <c r="O12" s="57" t="e">
        <f>(#REF!/L12)</f>
        <v>#REF!</v>
      </c>
      <c r="P12" s="60">
        <v>0.4022</v>
      </c>
      <c r="Q12" s="57">
        <f t="shared" si="2"/>
        <v>4.66</v>
      </c>
      <c r="R12" s="60">
        <v>0.16533</v>
      </c>
      <c r="S12" s="147">
        <v>0</v>
      </c>
      <c r="T12" s="147">
        <v>0</v>
      </c>
      <c r="U12" s="60">
        <f>R12+S12</f>
        <v>0.16533</v>
      </c>
      <c r="V12" s="60">
        <v>23</v>
      </c>
      <c r="W12" s="150"/>
      <c r="X12" s="131">
        <v>6.7900000000000002E-2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749.05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13.9201</v>
      </c>
      <c r="N13" s="126">
        <f t="shared" si="0"/>
        <v>40.97</v>
      </c>
      <c r="O13" s="58" t="e">
        <f>(#REF!/L13)</f>
        <v>#REF!</v>
      </c>
      <c r="P13" s="59">
        <v>0.85270000000000001</v>
      </c>
      <c r="Q13" s="58">
        <f t="shared" si="2"/>
        <v>9.8699999999999992</v>
      </c>
      <c r="R13" s="59">
        <v>0.57879999999999998</v>
      </c>
      <c r="S13" s="149">
        <v>0</v>
      </c>
      <c r="T13" s="149">
        <v>0</v>
      </c>
      <c r="U13" s="59">
        <f t="shared" si="1"/>
        <v>0.57879999999999998</v>
      </c>
      <c r="V13" s="59">
        <v>32</v>
      </c>
      <c r="W13" s="152"/>
      <c r="X13" s="131">
        <v>0.81559999999999999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964.45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0.97</v>
      </c>
      <c r="N14" s="127">
        <f t="shared" si="0"/>
        <v>3.11</v>
      </c>
      <c r="O14" s="57" t="e">
        <f>(#REF!/L14)</f>
        <v>#REF!</v>
      </c>
      <c r="P14" s="60">
        <v>1.048</v>
      </c>
      <c r="Q14" s="57">
        <f>ROUND((P14*1000000/(24*3600)),2)</f>
        <v>12.13</v>
      </c>
      <c r="R14" s="60"/>
      <c r="S14" s="147">
        <v>0</v>
      </c>
      <c r="T14" s="147">
        <v>0</v>
      </c>
      <c r="U14" s="60">
        <f t="shared" si="1"/>
        <v>0</v>
      </c>
      <c r="V14" s="60">
        <v>18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416.8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12.7</v>
      </c>
      <c r="N15" s="126">
        <f t="shared" si="0"/>
        <v>41.91</v>
      </c>
      <c r="O15" s="58" t="e">
        <f>(#REF!/L15)</f>
        <v>#REF!</v>
      </c>
      <c r="P15" s="59">
        <v>2.1800000000000002</v>
      </c>
      <c r="Q15" s="58">
        <f t="shared" si="2"/>
        <v>25.23</v>
      </c>
      <c r="R15" s="59">
        <v>0.88009999999999999</v>
      </c>
      <c r="S15" s="149">
        <v>0</v>
      </c>
      <c r="T15" s="149">
        <f>Y15</f>
        <v>0</v>
      </c>
      <c r="U15" s="59">
        <f t="shared" si="1"/>
        <v>0.88009999999999999</v>
      </c>
      <c r="V15" s="59">
        <v>19</v>
      </c>
      <c r="W15" s="151" t="s">
        <v>136</v>
      </c>
      <c r="X15" s="131">
        <v>0.34970000000000001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1748.05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1.9179999999999999</v>
      </c>
      <c r="N16" s="127">
        <f t="shared" si="0"/>
        <v>25.07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0.8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453.2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4.3209999999999997</v>
      </c>
      <c r="N17" s="126">
        <f t="shared" si="0"/>
        <v>67.2</v>
      </c>
      <c r="O17" s="58" t="e">
        <f>(#REF!/L17)</f>
        <v>#REF!</v>
      </c>
      <c r="P17" s="59">
        <v>1.5564</v>
      </c>
      <c r="Q17" s="57">
        <f t="shared" si="2"/>
        <v>18.010000000000002</v>
      </c>
      <c r="R17" s="59">
        <v>1.5308999999999999</v>
      </c>
      <c r="S17" s="149">
        <v>0</v>
      </c>
      <c r="T17" s="149">
        <v>0</v>
      </c>
      <c r="U17" s="59">
        <f t="shared" si="1"/>
        <v>1.5308999999999999</v>
      </c>
      <c r="V17" s="59">
        <v>20</v>
      </c>
      <c r="W17" s="150"/>
      <c r="X17" s="131">
        <v>0.71689999999999998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250.8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3.6179999999999999</v>
      </c>
      <c r="N19" s="126">
        <f t="shared" si="0"/>
        <v>79.52</v>
      </c>
      <c r="O19" s="58" t="e">
        <f>(#REF!/L19)</f>
        <v>#REF!</v>
      </c>
      <c r="P19" s="59">
        <v>1.8472</v>
      </c>
      <c r="Q19" s="57">
        <f t="shared" si="2"/>
        <v>21.38</v>
      </c>
      <c r="R19" s="59">
        <v>1.0122</v>
      </c>
      <c r="S19" s="149">
        <v>0</v>
      </c>
      <c r="T19" s="149">
        <v>0</v>
      </c>
      <c r="U19" s="59">
        <f t="shared" si="1"/>
        <v>1.0122</v>
      </c>
      <c r="V19" s="59">
        <v>30</v>
      </c>
      <c r="W19" s="151"/>
      <c r="X19" s="131">
        <v>0.46600000000000003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0.32100000000000001</v>
      </c>
      <c r="N20" s="127">
        <f t="shared" si="0"/>
        <v>27.67</v>
      </c>
      <c r="O20" s="57" t="e">
        <f>(#REF!/L20)</f>
        <v>#REF!</v>
      </c>
      <c r="P20" s="60">
        <v>0.85389999999999999</v>
      </c>
      <c r="Q20" s="57">
        <f t="shared" si="2"/>
        <v>9.8800000000000008</v>
      </c>
      <c r="R20" s="60">
        <v>0.53210000000000002</v>
      </c>
      <c r="S20" s="147">
        <v>0</v>
      </c>
      <c r="T20" s="153">
        <v>0</v>
      </c>
      <c r="U20" s="60">
        <f t="shared" si="1"/>
        <v>0.53210000000000002</v>
      </c>
      <c r="V20" s="60">
        <v>25</v>
      </c>
      <c r="W20" s="154"/>
      <c r="X20" s="131">
        <v>0.16375000000000001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0.189</v>
      </c>
      <c r="N22" s="139">
        <f t="shared" si="0"/>
        <v>48.46</v>
      </c>
      <c r="O22" s="115" t="e">
        <f>(#REF!/L22)</f>
        <v>#REF!</v>
      </c>
      <c r="P22" s="116">
        <v>0.78269999999999995</v>
      </c>
      <c r="Q22" s="57">
        <f t="shared" si="2"/>
        <v>9.06</v>
      </c>
      <c r="R22" s="116">
        <v>0.74729999999999996</v>
      </c>
      <c r="S22" s="153">
        <v>0</v>
      </c>
      <c r="T22" s="153">
        <v>0</v>
      </c>
      <c r="U22" s="116">
        <f t="shared" si="1"/>
        <v>0.74729999999999996</v>
      </c>
      <c r="V22" s="116">
        <v>3.3</v>
      </c>
      <c r="W22" s="156"/>
      <c r="X22" s="131">
        <v>0.58840000000000003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1106.69</v>
      </c>
      <c r="N23" s="191">
        <f t="shared" si="0"/>
        <v>31.2</v>
      </c>
      <c r="O23" s="191" t="e">
        <f>(#REF!/L23)</f>
        <v>#REF!</v>
      </c>
      <c r="P23" s="89"/>
      <c r="Q23" s="191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M7" sqref="M7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155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2377.9499999999998</v>
      </c>
      <c r="F5" s="129">
        <v>2327.7199999999998</v>
      </c>
      <c r="G5" s="58" t="s">
        <v>12</v>
      </c>
      <c r="H5" s="58" t="s">
        <v>13</v>
      </c>
      <c r="I5" s="59">
        <f>E5-8</f>
        <v>2369.9499999999998</v>
      </c>
      <c r="J5" s="59">
        <f>E5-2</f>
        <v>2375.9499999999998</v>
      </c>
      <c r="K5" s="59">
        <f>E5-1</f>
        <v>2376.9499999999998</v>
      </c>
      <c r="L5" s="59">
        <v>1459.49</v>
      </c>
      <c r="M5" s="126">
        <v>415.327</v>
      </c>
      <c r="N5" s="126">
        <f t="shared" ref="N5:N23" si="0">ROUND((M5/L5)*100,2)</f>
        <v>28.46</v>
      </c>
      <c r="O5" s="58" t="e">
        <f>(#REF!/L5)</f>
        <v>#REF!</v>
      </c>
      <c r="P5" s="59">
        <v>5.3259999999999996</v>
      </c>
      <c r="Q5" s="58">
        <f>ROUND((P5*1000000/(24*3600)),2)</f>
        <v>61.64</v>
      </c>
      <c r="R5" s="59">
        <v>3.0303</v>
      </c>
      <c r="S5" s="149">
        <v>0</v>
      </c>
      <c r="T5" s="149">
        <v>0</v>
      </c>
      <c r="U5" s="59">
        <f t="shared" ref="U5:U22" si="1">R5+S5</f>
        <v>3.0303</v>
      </c>
      <c r="V5" s="59">
        <v>0.6</v>
      </c>
      <c r="W5" s="152"/>
      <c r="X5" s="131">
        <v>4.4029999999999996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161.75</v>
      </c>
      <c r="F6" s="127">
        <v>143.44999999999999</v>
      </c>
      <c r="G6" s="57">
        <v>171</v>
      </c>
      <c r="H6" s="57">
        <v>161</v>
      </c>
      <c r="I6" s="60">
        <f>E6-1.5</f>
        <v>160.25</v>
      </c>
      <c r="J6" s="60">
        <f>E6-1</f>
        <v>160.75</v>
      </c>
      <c r="K6" s="60">
        <f>E6-0.5</f>
        <v>161.25</v>
      </c>
      <c r="L6" s="60">
        <v>1017.8</v>
      </c>
      <c r="M6" s="127">
        <v>375.95699999999999</v>
      </c>
      <c r="N6" s="127">
        <f t="shared" si="0"/>
        <v>36.94</v>
      </c>
      <c r="O6" s="57" t="e">
        <f>(#REF!/L6)</f>
        <v>#REF!</v>
      </c>
      <c r="P6" s="60">
        <v>1.0488999999999999</v>
      </c>
      <c r="Q6" s="57">
        <f>ROUND((P6*1000000/(24*3600)),2)</f>
        <v>12.14</v>
      </c>
      <c r="R6" s="60">
        <v>1.0488999999999999</v>
      </c>
      <c r="S6" s="147">
        <v>0</v>
      </c>
      <c r="T6" s="147">
        <v>0</v>
      </c>
      <c r="U6" s="60">
        <f t="shared" si="1"/>
        <v>1.0488999999999999</v>
      </c>
      <c r="V6" s="60">
        <v>1.4</v>
      </c>
      <c r="W6" s="148"/>
      <c r="X6" s="131">
        <v>0.26079999999999998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954.26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137.72</v>
      </c>
      <c r="N7" s="126">
        <f t="shared" si="0"/>
        <v>30.84</v>
      </c>
      <c r="O7" s="58" t="e">
        <f>(#REF!/L7)</f>
        <v>#REF!</v>
      </c>
      <c r="P7" s="59">
        <v>1.6456</v>
      </c>
      <c r="Q7" s="58">
        <f t="shared" ref="Q7:Q22" si="2">ROUND((P7*1000000/(24*3600)),2)</f>
        <v>19.05</v>
      </c>
      <c r="R7" s="59">
        <v>1.0156000000000001</v>
      </c>
      <c r="S7" s="149">
        <v>0</v>
      </c>
      <c r="T7" s="149">
        <v>0</v>
      </c>
      <c r="U7" s="59">
        <f t="shared" si="1"/>
        <v>1.0156000000000001</v>
      </c>
      <c r="V7" s="59">
        <v>0</v>
      </c>
      <c r="W7" s="151"/>
      <c r="X7" s="131">
        <v>1.6379999999999999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762.45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63.15</v>
      </c>
      <c r="N8" s="127">
        <f t="shared" si="0"/>
        <v>31.42</v>
      </c>
      <c r="O8" s="57" t="e">
        <f>(#REF!/L8)</f>
        <v>#REF!</v>
      </c>
      <c r="P8" s="60">
        <v>1.6</v>
      </c>
      <c r="Q8" s="57">
        <f>ROUND((P8*1000000/(24*3600)),2)</f>
        <v>18.52</v>
      </c>
      <c r="R8" s="60"/>
      <c r="S8" s="147">
        <v>0</v>
      </c>
      <c r="T8" s="147">
        <v>0</v>
      </c>
      <c r="U8" s="60">
        <f t="shared" si="1"/>
        <v>0</v>
      </c>
      <c r="V8" s="60">
        <v>10.199999999999999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2614.6999999999998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49.07</v>
      </c>
      <c r="N9" s="126">
        <f t="shared" si="0"/>
        <v>32.909999999999997</v>
      </c>
      <c r="O9" s="58" t="e">
        <f>(#REF!/L9)</f>
        <v>#REF!</v>
      </c>
      <c r="P9" s="59">
        <v>1.1328</v>
      </c>
      <c r="Q9" s="58">
        <f t="shared" si="2"/>
        <v>13.11</v>
      </c>
      <c r="R9" s="59">
        <v>0.12189999999999999</v>
      </c>
      <c r="S9" s="149">
        <v>0</v>
      </c>
      <c r="T9" s="149">
        <v>0</v>
      </c>
      <c r="U9" s="59">
        <f t="shared" si="1"/>
        <v>0.12189999999999999</v>
      </c>
      <c r="V9" s="59">
        <v>9</v>
      </c>
      <c r="W9" s="151"/>
      <c r="X9" s="131">
        <v>7.8799999999999995E-2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1568.25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2.54</v>
      </c>
      <c r="N10" s="127">
        <f t="shared" si="0"/>
        <v>4.6399999999999997</v>
      </c>
      <c r="O10" s="57" t="e">
        <f>(#REF!/L10)</f>
        <v>#REF!</v>
      </c>
      <c r="P10" s="60">
        <v>0.189</v>
      </c>
      <c r="Q10" s="57">
        <f t="shared" si="2"/>
        <v>2.19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2.6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1195.8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11.4224</v>
      </c>
      <c r="N11" s="126">
        <f t="shared" si="0"/>
        <v>22.92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692.2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17.446400000000001</v>
      </c>
      <c r="N12" s="127">
        <f t="shared" si="0"/>
        <v>36.81</v>
      </c>
      <c r="O12" s="57" t="e">
        <f>(#REF!/L12)</f>
        <v>#REF!</v>
      </c>
      <c r="P12" s="60">
        <v>2.5000000000000001E-3</v>
      </c>
      <c r="Q12" s="57">
        <f t="shared" si="2"/>
        <v>0.03</v>
      </c>
      <c r="R12" s="60">
        <v>0.31824999999999998</v>
      </c>
      <c r="S12" s="147">
        <v>0</v>
      </c>
      <c r="T12" s="147">
        <v>0</v>
      </c>
      <c r="U12" s="60">
        <f>R12+S12</f>
        <v>0.31824999999999998</v>
      </c>
      <c r="V12" s="60">
        <v>0</v>
      </c>
      <c r="W12" s="150"/>
      <c r="X12" s="131">
        <v>0.13070000000000001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749.02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13.866</v>
      </c>
      <c r="N13" s="126">
        <f t="shared" si="0"/>
        <v>40.81</v>
      </c>
      <c r="O13" s="58" t="e">
        <f>(#REF!/L13)</f>
        <v>#REF!</v>
      </c>
      <c r="P13" s="59">
        <v>0.65959999999999996</v>
      </c>
      <c r="Q13" s="58">
        <f t="shared" si="2"/>
        <v>7.63</v>
      </c>
      <c r="R13" s="59">
        <v>0.71450000000000002</v>
      </c>
      <c r="S13" s="149">
        <v>0</v>
      </c>
      <c r="T13" s="149">
        <v>0</v>
      </c>
      <c r="U13" s="59">
        <f t="shared" si="1"/>
        <v>0.71450000000000002</v>
      </c>
      <c r="V13" s="59">
        <v>21</v>
      </c>
      <c r="W13" s="152"/>
      <c r="X13" s="131">
        <v>1.0079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964.45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0.97</v>
      </c>
      <c r="N14" s="127">
        <f t="shared" si="0"/>
        <v>3.11</v>
      </c>
      <c r="O14" s="57" t="e">
        <f>(#REF!/L14)</f>
        <v>#REF!</v>
      </c>
      <c r="P14" s="60">
        <v>1.0529999999999999</v>
      </c>
      <c r="Q14" s="57">
        <f>ROUND((P14*1000000/(24*3600)),2)</f>
        <v>12.19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416.55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12.2</v>
      </c>
      <c r="N15" s="126">
        <f t="shared" si="0"/>
        <v>40.26</v>
      </c>
      <c r="O15" s="58" t="e">
        <f>(#REF!/L15)</f>
        <v>#REF!</v>
      </c>
      <c r="P15" s="59">
        <v>0.66180000000000005</v>
      </c>
      <c r="Q15" s="58">
        <f t="shared" si="2"/>
        <v>7.66</v>
      </c>
      <c r="R15" s="59">
        <v>1.1617999999999999</v>
      </c>
      <c r="S15" s="149">
        <v>0</v>
      </c>
      <c r="T15" s="149">
        <f>Y15</f>
        <v>0</v>
      </c>
      <c r="U15" s="59">
        <f t="shared" si="1"/>
        <v>1.1617999999999999</v>
      </c>
      <c r="V15" s="59">
        <v>3.6</v>
      </c>
      <c r="W15" s="151" t="s">
        <v>136</v>
      </c>
      <c r="X15" s="131">
        <v>0.45648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1748.1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1.9359999999999999</v>
      </c>
      <c r="N16" s="127">
        <f t="shared" si="0"/>
        <v>25.31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0.4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452.4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3.9129999999999998</v>
      </c>
      <c r="N17" s="126">
        <f t="shared" si="0"/>
        <v>60.86</v>
      </c>
      <c r="O17" s="58" t="e">
        <f>(#REF!/L17)</f>
        <v>#REF!</v>
      </c>
      <c r="P17" s="59">
        <v>0.78269999999999995</v>
      </c>
      <c r="Q17" s="57">
        <f t="shared" si="2"/>
        <v>9.06</v>
      </c>
      <c r="R17" s="59">
        <v>1.1908700000000001</v>
      </c>
      <c r="S17" s="149">
        <v>0</v>
      </c>
      <c r="T17" s="149">
        <v>0</v>
      </c>
      <c r="U17" s="59">
        <f t="shared" si="1"/>
        <v>1.1908700000000001</v>
      </c>
      <c r="V17" s="59">
        <v>6</v>
      </c>
      <c r="W17" s="150"/>
      <c r="X17" s="131">
        <v>0.56130000000000002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247.7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2.4169999999999998</v>
      </c>
      <c r="N19" s="126">
        <f t="shared" si="0"/>
        <v>53.12</v>
      </c>
      <c r="O19" s="58" t="e">
        <f>(#REF!/L19)</f>
        <v>#REF!</v>
      </c>
      <c r="P19" s="59">
        <v>3.1778</v>
      </c>
      <c r="Q19" s="57">
        <f t="shared" si="2"/>
        <v>36.78</v>
      </c>
      <c r="R19" s="59">
        <v>4.3788</v>
      </c>
      <c r="S19" s="149">
        <v>0</v>
      </c>
      <c r="T19" s="149">
        <v>0</v>
      </c>
      <c r="U19" s="59">
        <f t="shared" si="1"/>
        <v>4.3788</v>
      </c>
      <c r="V19" s="59">
        <v>9</v>
      </c>
      <c r="W19" s="151"/>
      <c r="X19" s="131">
        <v>2.016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185.4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0.315</v>
      </c>
      <c r="N20" s="127">
        <f t="shared" si="0"/>
        <v>27.16</v>
      </c>
      <c r="O20" s="57" t="e">
        <f>(#REF!/L20)</f>
        <v>#REF!</v>
      </c>
      <c r="P20" s="60">
        <v>0.84560000000000002</v>
      </c>
      <c r="Q20" s="57">
        <f t="shared" si="2"/>
        <v>9.7899999999999991</v>
      </c>
      <c r="R20" s="60">
        <v>1.0848</v>
      </c>
      <c r="S20" s="147">
        <v>0</v>
      </c>
      <c r="T20" s="153">
        <v>0</v>
      </c>
      <c r="U20" s="60">
        <f t="shared" si="1"/>
        <v>1.0848</v>
      </c>
      <c r="V20" s="60">
        <v>6</v>
      </c>
      <c r="W20" s="154"/>
      <c r="X20" s="131">
        <v>0.33378999999999998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0.189</v>
      </c>
      <c r="N22" s="139">
        <f t="shared" si="0"/>
        <v>48.46</v>
      </c>
      <c r="O22" s="115" t="e">
        <f>(#REF!/L22)</f>
        <v>#REF!</v>
      </c>
      <c r="P22" s="116">
        <v>0.90839999999999999</v>
      </c>
      <c r="Q22" s="57">
        <f t="shared" si="2"/>
        <v>10.51</v>
      </c>
      <c r="R22" s="116">
        <v>0.90843099999999999</v>
      </c>
      <c r="S22" s="153">
        <v>0</v>
      </c>
      <c r="T22" s="153">
        <v>0</v>
      </c>
      <c r="U22" s="116">
        <f t="shared" si="1"/>
        <v>0.90843099999999999</v>
      </c>
      <c r="V22" s="116">
        <v>5.0999999999999996</v>
      </c>
      <c r="W22" s="156"/>
      <c r="X22" s="131">
        <v>0.71530000000000005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1109.3399999999999</v>
      </c>
      <c r="N23" s="192">
        <f t="shared" si="0"/>
        <v>31.27</v>
      </c>
      <c r="O23" s="192" t="e">
        <f>(#REF!/L23)</f>
        <v>#REF!</v>
      </c>
      <c r="P23" s="89"/>
      <c r="Q23" s="192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P5" sqref="P5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2327.86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416.82600000000002</v>
      </c>
      <c r="N5" s="126">
        <f t="shared" ref="N5:N23" si="0">ROUND((M5/L5)*100,2)</f>
        <v>28.56</v>
      </c>
      <c r="O5" s="58" t="e">
        <f>(#REF!/L5)</f>
        <v>#REF!</v>
      </c>
      <c r="P5" s="59">
        <v>3.3769999999999998</v>
      </c>
      <c r="Q5" s="58">
        <f>ROUND((P5*1000000/(24*3600)),2)</f>
        <v>39.090000000000003</v>
      </c>
      <c r="R5" s="59">
        <v>1.7239</v>
      </c>
      <c r="S5" s="149">
        <v>0</v>
      </c>
      <c r="T5" s="149">
        <v>0</v>
      </c>
      <c r="U5" s="59">
        <f t="shared" ref="U5:U22" si="1">R5+S5</f>
        <v>1.7239</v>
      </c>
      <c r="V5" s="59">
        <v>0</v>
      </c>
      <c r="W5" s="152"/>
      <c r="X5" s="131">
        <v>2.5049999999999999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143.56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378.08600000000001</v>
      </c>
      <c r="N6" s="127">
        <f t="shared" si="0"/>
        <v>37.15</v>
      </c>
      <c r="O6" s="57" t="e">
        <f>(#REF!/L6)</f>
        <v>#REF!</v>
      </c>
      <c r="P6" s="60">
        <v>2.7635000000000001</v>
      </c>
      <c r="Q6" s="57">
        <f>ROUND((P6*1000000/(24*3600)),2)</f>
        <v>31.98</v>
      </c>
      <c r="R6" s="60">
        <v>0.6018</v>
      </c>
      <c r="S6" s="147">
        <v>0</v>
      </c>
      <c r="T6" s="147">
        <v>0</v>
      </c>
      <c r="U6" s="60">
        <f t="shared" si="1"/>
        <v>0.6018</v>
      </c>
      <c r="V6" s="60">
        <v>0</v>
      </c>
      <c r="W6" s="148"/>
      <c r="X6" s="131">
        <v>0.14979999999999999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954.34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138.28</v>
      </c>
      <c r="N7" s="126">
        <f t="shared" si="0"/>
        <v>30.97</v>
      </c>
      <c r="O7" s="58" t="e">
        <f>(#REF!/L7)</f>
        <v>#REF!</v>
      </c>
      <c r="P7" s="59">
        <v>1.1673</v>
      </c>
      <c r="Q7" s="58">
        <f t="shared" ref="Q7:Q22" si="2">ROUND((P7*1000000/(24*3600)),2)</f>
        <v>13.51</v>
      </c>
      <c r="R7" s="59">
        <v>0.60729999999999995</v>
      </c>
      <c r="S7" s="149">
        <v>0</v>
      </c>
      <c r="T7" s="149">
        <v>0</v>
      </c>
      <c r="U7" s="59">
        <f t="shared" si="1"/>
        <v>0.60729999999999995</v>
      </c>
      <c r="V7" s="59">
        <v>0</v>
      </c>
      <c r="W7" s="151"/>
      <c r="X7" s="131">
        <v>0.97950000000000004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762.5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63.35</v>
      </c>
      <c r="N8" s="127">
        <f t="shared" si="0"/>
        <v>31.52</v>
      </c>
      <c r="O8" s="57" t="e">
        <f>(#REF!/L8)</f>
        <v>#REF!</v>
      </c>
      <c r="P8" s="60">
        <v>0.2</v>
      </c>
      <c r="Q8" s="57">
        <f>ROUND((P8*1000000/(24*3600)),2)</f>
        <v>2.31</v>
      </c>
      <c r="R8" s="60"/>
      <c r="S8" s="147">
        <v>0</v>
      </c>
      <c r="T8" s="147">
        <v>0</v>
      </c>
      <c r="U8" s="60">
        <f t="shared" si="1"/>
        <v>0</v>
      </c>
      <c r="V8" s="60">
        <v>12.6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2615.6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50.38</v>
      </c>
      <c r="N9" s="126">
        <f t="shared" si="0"/>
        <v>33.79</v>
      </c>
      <c r="O9" s="58" t="e">
        <f>(#REF!/L9)</f>
        <v>#REF!</v>
      </c>
      <c r="P9" s="59">
        <v>1.4109</v>
      </c>
      <c r="Q9" s="58">
        <f t="shared" si="2"/>
        <v>16.329999999999998</v>
      </c>
      <c r="R9" s="59">
        <v>9.4100000000000003E-2</v>
      </c>
      <c r="S9" s="149">
        <v>0</v>
      </c>
      <c r="T9" s="149">
        <v>0</v>
      </c>
      <c r="U9" s="59">
        <f t="shared" si="1"/>
        <v>9.4100000000000003E-2</v>
      </c>
      <c r="V9" s="59">
        <v>0</v>
      </c>
      <c r="W9" s="151"/>
      <c r="X9" s="131">
        <v>6.0900000000000003E-2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1567.85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2.14</v>
      </c>
      <c r="N10" s="127">
        <f t="shared" si="0"/>
        <v>3.91</v>
      </c>
      <c r="O10" s="57" t="e">
        <f>(#REF!/L10)</f>
        <v>#REF!</v>
      </c>
      <c r="P10" s="60">
        <v>8.8999999999999996E-2</v>
      </c>
      <c r="Q10" s="57">
        <f t="shared" si="2"/>
        <v>1.03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1195.82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11.457100000000001</v>
      </c>
      <c r="N11" s="126">
        <f t="shared" si="0"/>
        <v>22.99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692.15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17.3674</v>
      </c>
      <c r="N12" s="127">
        <f t="shared" si="0"/>
        <v>36.64</v>
      </c>
      <c r="O12" s="57" t="e">
        <f>(#REF!/L12)</f>
        <v>#REF!</v>
      </c>
      <c r="P12" s="60">
        <v>0.31330000000000002</v>
      </c>
      <c r="Q12" s="57">
        <f t="shared" si="2"/>
        <v>3.63</v>
      </c>
      <c r="R12" s="60">
        <v>0.39227000000000001</v>
      </c>
      <c r="S12" s="147">
        <v>0</v>
      </c>
      <c r="T12" s="147">
        <v>0</v>
      </c>
      <c r="U12" s="60">
        <f>R12+S12</f>
        <v>0.39227000000000001</v>
      </c>
      <c r="V12" s="60">
        <v>0</v>
      </c>
      <c r="W12" s="150"/>
      <c r="X12" s="131">
        <v>0.16109999999999999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749.2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14.195399999999999</v>
      </c>
      <c r="N13" s="126">
        <f t="shared" si="0"/>
        <v>41.78</v>
      </c>
      <c r="O13" s="58" t="e">
        <f>(#REF!/L13)</f>
        <v>#REF!</v>
      </c>
      <c r="P13" s="59">
        <v>1.1494</v>
      </c>
      <c r="Q13" s="58">
        <f t="shared" si="2"/>
        <v>13.3</v>
      </c>
      <c r="R13" s="59">
        <v>0.82</v>
      </c>
      <c r="S13" s="149">
        <v>0</v>
      </c>
      <c r="T13" s="149">
        <v>0</v>
      </c>
      <c r="U13" s="59">
        <f t="shared" si="1"/>
        <v>0.82</v>
      </c>
      <c r="V13" s="59">
        <v>7</v>
      </c>
      <c r="W13" s="152"/>
      <c r="X13" s="131">
        <v>1.1599999999999999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964.35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0.89</v>
      </c>
      <c r="N14" s="127">
        <f t="shared" si="0"/>
        <v>2.86</v>
      </c>
      <c r="O14" s="57" t="e">
        <f>(#REF!/L14)</f>
        <v>#REF!</v>
      </c>
      <c r="P14" s="60">
        <v>0.91100000000000003</v>
      </c>
      <c r="Q14" s="57">
        <f>ROUND((P14*1000000/(24*3600)),2)</f>
        <v>10.54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416.5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12.1</v>
      </c>
      <c r="N15" s="126">
        <f t="shared" si="0"/>
        <v>39.93</v>
      </c>
      <c r="O15" s="58" t="e">
        <f>(#REF!/L15)</f>
        <v>#REF!</v>
      </c>
      <c r="P15" s="59">
        <v>2.2829000000000002</v>
      </c>
      <c r="Q15" s="58">
        <f t="shared" si="2"/>
        <v>26.42</v>
      </c>
      <c r="R15" s="59">
        <v>2.3828999999999998</v>
      </c>
      <c r="S15" s="149">
        <v>0</v>
      </c>
      <c r="T15" s="149">
        <f>Y15</f>
        <v>0</v>
      </c>
      <c r="U15" s="59">
        <f t="shared" si="1"/>
        <v>2.3828999999999998</v>
      </c>
      <c r="V15" s="59">
        <v>1.8</v>
      </c>
      <c r="W15" s="151" t="s">
        <v>136</v>
      </c>
      <c r="X15" s="131">
        <v>0.93762999999999996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1748.2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1.972</v>
      </c>
      <c r="N16" s="127">
        <f t="shared" si="0"/>
        <v>25.78</v>
      </c>
      <c r="O16" s="57" t="e">
        <f>(#REF!/L16)</f>
        <v>#REF!</v>
      </c>
      <c r="P16" s="60">
        <v>3.5999999999999997E-2</v>
      </c>
      <c r="Q16" s="57">
        <f t="shared" si="2"/>
        <v>0.42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452.95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4.1929999999999996</v>
      </c>
      <c r="N17" s="126">
        <f t="shared" si="0"/>
        <v>65.209999999999994</v>
      </c>
      <c r="O17" s="58" t="e">
        <f>(#REF!/L17)</f>
        <v>#REF!</v>
      </c>
      <c r="P17" s="59">
        <v>2.2199</v>
      </c>
      <c r="Q17" s="57">
        <f t="shared" si="2"/>
        <v>25.69</v>
      </c>
      <c r="R17" s="59">
        <v>1.9393</v>
      </c>
      <c r="S17" s="149">
        <v>0</v>
      </c>
      <c r="T17" s="149">
        <v>0</v>
      </c>
      <c r="U17" s="59">
        <f t="shared" si="1"/>
        <v>1.9393</v>
      </c>
      <c r="V17" s="59">
        <v>0</v>
      </c>
      <c r="W17" s="150"/>
      <c r="X17" s="131">
        <v>0.9113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</v>
      </c>
      <c r="N19" s="126">
        <f t="shared" si="0"/>
        <v>63.74</v>
      </c>
      <c r="O19" s="58" t="e">
        <f>(#REF!/L19)</f>
        <v>#REF!</v>
      </c>
      <c r="P19" s="59">
        <v>2.9264999999999999</v>
      </c>
      <c r="Q19" s="57">
        <f t="shared" si="2"/>
        <v>33.869999999999997</v>
      </c>
      <c r="R19" s="59">
        <v>2.4434999999999998</v>
      </c>
      <c r="S19" s="149">
        <v>0</v>
      </c>
      <c r="T19" s="149">
        <v>0</v>
      </c>
      <c r="U19" s="59">
        <f t="shared" si="1"/>
        <v>2.4434999999999998</v>
      </c>
      <c r="V19" s="59">
        <v>0</v>
      </c>
      <c r="W19" s="151"/>
      <c r="X19" s="131">
        <v>1.125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185.7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0.33600000000000002</v>
      </c>
      <c r="N20" s="127">
        <f t="shared" si="0"/>
        <v>28.97</v>
      </c>
      <c r="O20" s="57" t="e">
        <f>(#REF!/L20)</f>
        <v>#REF!</v>
      </c>
      <c r="P20" s="60">
        <v>1.0868</v>
      </c>
      <c r="Q20" s="57">
        <f t="shared" si="2"/>
        <v>12.58</v>
      </c>
      <c r="R20" s="60">
        <v>0.74150000000000005</v>
      </c>
      <c r="S20" s="147">
        <v>0</v>
      </c>
      <c r="T20" s="153">
        <v>0</v>
      </c>
      <c r="U20" s="60">
        <f t="shared" si="1"/>
        <v>0.74150000000000005</v>
      </c>
      <c r="V20" s="60">
        <v>0</v>
      </c>
      <c r="W20" s="154"/>
      <c r="X20" s="131">
        <v>0.22814000000000001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846.9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0.21299999999999999</v>
      </c>
      <c r="N22" s="139">
        <f t="shared" si="0"/>
        <v>54.62</v>
      </c>
      <c r="O22" s="115" t="e">
        <f>(#REF!/L22)</f>
        <v>#REF!</v>
      </c>
      <c r="P22" s="116">
        <v>0.77070000000000005</v>
      </c>
      <c r="Q22" s="57">
        <f t="shared" si="2"/>
        <v>8.92</v>
      </c>
      <c r="R22" s="116">
        <v>0.74701399999999996</v>
      </c>
      <c r="S22" s="153">
        <v>0</v>
      </c>
      <c r="T22" s="153">
        <v>0</v>
      </c>
      <c r="U22" s="116">
        <f t="shared" si="1"/>
        <v>0.74701399999999996</v>
      </c>
      <c r="V22" s="116">
        <v>0</v>
      </c>
      <c r="W22" s="156"/>
      <c r="X22" s="131">
        <v>0.58819999999999995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1115.5899999999999</v>
      </c>
      <c r="N23" s="193">
        <f t="shared" si="0"/>
        <v>31.45</v>
      </c>
      <c r="O23" s="193" t="e">
        <f>(#REF!/L23)</f>
        <v>#REF!</v>
      </c>
      <c r="P23" s="89"/>
      <c r="Q23" s="193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Q4" sqref="Q4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2328.02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418.53800000000001</v>
      </c>
      <c r="N5" s="126">
        <f t="shared" ref="N5:N23" si="0">ROUND((M5/L5)*100,2)</f>
        <v>28.68</v>
      </c>
      <c r="O5" s="58" t="e">
        <f>(#REF!/L5)</f>
        <v>#REF!</v>
      </c>
      <c r="P5" s="59">
        <v>2.819</v>
      </c>
      <c r="Q5" s="58">
        <f>ROUND((P5*1000000/(24*3600)),2)</f>
        <v>32.630000000000003</v>
      </c>
      <c r="R5" s="59">
        <v>0.95169999999999999</v>
      </c>
      <c r="S5" s="149">
        <v>0</v>
      </c>
      <c r="T5" s="149">
        <v>0</v>
      </c>
      <c r="U5" s="59">
        <f t="shared" ref="U5:U22" si="1">R5+S5</f>
        <v>0.95169999999999999</v>
      </c>
      <c r="V5" s="59">
        <v>3.4</v>
      </c>
      <c r="W5" s="152"/>
      <c r="X5" s="131">
        <v>1.383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143.71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380.988</v>
      </c>
      <c r="N6" s="127">
        <f t="shared" si="0"/>
        <v>37.43</v>
      </c>
      <c r="O6" s="57" t="e">
        <f>(#REF!/L6)</f>
        <v>#REF!</v>
      </c>
      <c r="P6" s="60">
        <v>2.9298000000000002</v>
      </c>
      <c r="Q6" s="57">
        <f>ROUND((P6*1000000/(24*3600)),2)</f>
        <v>33.909999999999997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6.6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954.47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139.19</v>
      </c>
      <c r="N7" s="126">
        <f t="shared" si="0"/>
        <v>31.17</v>
      </c>
      <c r="O7" s="58" t="e">
        <f>(#REF!/L7)</f>
        <v>#REF!</v>
      </c>
      <c r="P7" s="59">
        <v>1.0743</v>
      </c>
      <c r="Q7" s="58">
        <f t="shared" ref="Q7:Q22" si="2">ROUND((P7*1000000/(24*3600)),2)</f>
        <v>12.43</v>
      </c>
      <c r="R7" s="59">
        <v>0.1643</v>
      </c>
      <c r="S7" s="149">
        <v>0</v>
      </c>
      <c r="T7" s="149">
        <v>0</v>
      </c>
      <c r="U7" s="59">
        <f t="shared" si="1"/>
        <v>0.1643</v>
      </c>
      <c r="V7" s="59">
        <v>0</v>
      </c>
      <c r="W7" s="151"/>
      <c r="X7" s="131">
        <v>0.26500000000000001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762.6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64.349999999999994</v>
      </c>
      <c r="N8" s="127">
        <f t="shared" si="0"/>
        <v>32.01</v>
      </c>
      <c r="O8" s="57" t="e">
        <f>(#REF!/L8)</f>
        <v>#REF!</v>
      </c>
      <c r="P8" s="60">
        <v>1</v>
      </c>
      <c r="Q8" s="57">
        <f>ROUND((P8*1000000/(24*3600)),2)</f>
        <v>11.57</v>
      </c>
      <c r="R8" s="60"/>
      <c r="S8" s="147">
        <v>0</v>
      </c>
      <c r="T8" s="147">
        <v>0</v>
      </c>
      <c r="U8" s="60">
        <f t="shared" si="1"/>
        <v>0</v>
      </c>
      <c r="V8" s="60">
        <v>10.4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2616.6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51.87</v>
      </c>
      <c r="N9" s="126">
        <f t="shared" si="0"/>
        <v>34.79</v>
      </c>
      <c r="O9" s="58" t="e">
        <f>(#REF!/L9)</f>
        <v>#REF!</v>
      </c>
      <c r="P9" s="59">
        <v>1.4895</v>
      </c>
      <c r="Q9" s="58">
        <f t="shared" si="2"/>
        <v>17.239999999999998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10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1567.5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1.79</v>
      </c>
      <c r="N10" s="127">
        <f t="shared" si="0"/>
        <v>3.27</v>
      </c>
      <c r="O10" s="57" t="e">
        <f>(#REF!/L10)</f>
        <v>#REF!</v>
      </c>
      <c r="P10" s="60">
        <v>0.13900000000000001</v>
      </c>
      <c r="Q10" s="57">
        <f t="shared" si="2"/>
        <v>1.61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1195.8499999999999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11.5091</v>
      </c>
      <c r="N11" s="126">
        <f t="shared" si="0"/>
        <v>23.1</v>
      </c>
      <c r="O11" s="58" t="e">
        <f>(#REF!/L11)</f>
        <v>#REF!</v>
      </c>
      <c r="P11" s="59">
        <v>5.1999999999999998E-2</v>
      </c>
      <c r="Q11" s="59">
        <f t="shared" si="2"/>
        <v>0.6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692.35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17.683199999999999</v>
      </c>
      <c r="N12" s="127">
        <f t="shared" si="0"/>
        <v>37.31</v>
      </c>
      <c r="O12" s="57" t="e">
        <f>(#REF!/L12)</f>
        <v>#REF!</v>
      </c>
      <c r="P12" s="60">
        <v>0.31580000000000003</v>
      </c>
      <c r="Q12" s="57">
        <f t="shared" si="2"/>
        <v>3.66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0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749.56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14.914999999999999</v>
      </c>
      <c r="N13" s="126">
        <f t="shared" si="0"/>
        <v>43.89</v>
      </c>
      <c r="O13" s="58" t="e">
        <f>(#REF!/L13)</f>
        <v>#REF!</v>
      </c>
      <c r="P13" s="59">
        <v>0.99609999999999999</v>
      </c>
      <c r="Q13" s="58">
        <f t="shared" si="2"/>
        <v>11.53</v>
      </c>
      <c r="R13" s="59">
        <v>0.27650000000000002</v>
      </c>
      <c r="S13" s="149">
        <v>0</v>
      </c>
      <c r="T13" s="149">
        <v>0</v>
      </c>
      <c r="U13" s="59">
        <f t="shared" si="1"/>
        <v>0.27650000000000002</v>
      </c>
      <c r="V13" s="59">
        <v>22</v>
      </c>
      <c r="W13" s="152"/>
      <c r="X13" s="131">
        <v>0.38929999999999998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964.25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0.81</v>
      </c>
      <c r="N14" s="127">
        <f t="shared" si="0"/>
        <v>2.6</v>
      </c>
      <c r="O14" s="57" t="e">
        <f>(#REF!/L14)</f>
        <v>#REF!</v>
      </c>
      <c r="P14" s="60">
        <v>0.79</v>
      </c>
      <c r="Q14" s="57">
        <f>ROUND((P14*1000000/(24*3600)),2)</f>
        <v>9.14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417.15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13.4</v>
      </c>
      <c r="N15" s="126">
        <f t="shared" si="0"/>
        <v>44.22</v>
      </c>
      <c r="O15" s="58" t="e">
        <f>(#REF!/L15)</f>
        <v>#REF!</v>
      </c>
      <c r="P15" s="59">
        <v>3.9462000000000002</v>
      </c>
      <c r="Q15" s="58">
        <f t="shared" si="2"/>
        <v>45.67</v>
      </c>
      <c r="R15" s="59">
        <v>2.6461999999999999</v>
      </c>
      <c r="S15" s="149">
        <v>0</v>
      </c>
      <c r="T15" s="149">
        <f>Y15</f>
        <v>0</v>
      </c>
      <c r="U15" s="59">
        <f t="shared" si="1"/>
        <v>2.6461999999999999</v>
      </c>
      <c r="V15" s="59">
        <v>17.2</v>
      </c>
      <c r="W15" s="151" t="s">
        <v>136</v>
      </c>
      <c r="X15" s="131">
        <v>1.1005849999999999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1748.25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1.99</v>
      </c>
      <c r="N16" s="127">
        <f t="shared" si="0"/>
        <v>26.01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452.95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4.1929999999999996</v>
      </c>
      <c r="N17" s="126">
        <f t="shared" si="0"/>
        <v>65.209999999999994</v>
      </c>
      <c r="O17" s="58" t="e">
        <f>(#REF!/L17)</f>
        <v>#REF!</v>
      </c>
      <c r="P17" s="59">
        <v>1.0038</v>
      </c>
      <c r="Q17" s="57">
        <f t="shared" si="2"/>
        <v>11.62</v>
      </c>
      <c r="R17" s="59">
        <v>1.0038</v>
      </c>
      <c r="S17" s="149">
        <v>0</v>
      </c>
      <c r="T17" s="149">
        <v>0</v>
      </c>
      <c r="U17" s="59">
        <f t="shared" si="1"/>
        <v>1.0038</v>
      </c>
      <c r="V17" s="59">
        <v>0</v>
      </c>
      <c r="W17" s="150"/>
      <c r="X17" s="131">
        <v>0.47239999999999999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249.1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2.9390000000000001</v>
      </c>
      <c r="N19" s="126">
        <f t="shared" si="0"/>
        <v>64.59</v>
      </c>
      <c r="O19" s="58" t="e">
        <f>(#REF!/L19)</f>
        <v>#REF!</v>
      </c>
      <c r="P19" s="59">
        <v>1.9590000000000001</v>
      </c>
      <c r="Q19" s="57">
        <f t="shared" si="2"/>
        <v>22.67</v>
      </c>
      <c r="R19" s="59">
        <v>1.92</v>
      </c>
      <c r="S19" s="149">
        <v>0</v>
      </c>
      <c r="T19" s="149">
        <v>0</v>
      </c>
      <c r="U19" s="59">
        <f t="shared" si="1"/>
        <v>1.92</v>
      </c>
      <c r="V19" s="59">
        <v>2</v>
      </c>
      <c r="W19" s="151"/>
      <c r="X19" s="131">
        <v>0.88400000000000001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186.3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0.39500000000000002</v>
      </c>
      <c r="N20" s="127">
        <f t="shared" si="0"/>
        <v>34.049999999999997</v>
      </c>
      <c r="O20" s="57" t="e">
        <f>(#REF!/L20)</f>
        <v>#REF!</v>
      </c>
      <c r="P20" s="60">
        <v>0.32540000000000002</v>
      </c>
      <c r="Q20" s="57">
        <f t="shared" si="2"/>
        <v>3.77</v>
      </c>
      <c r="R20" s="60">
        <v>0.391787</v>
      </c>
      <c r="S20" s="147">
        <v>0</v>
      </c>
      <c r="T20" s="153">
        <v>0</v>
      </c>
      <c r="U20" s="60">
        <f t="shared" si="1"/>
        <v>0.391787</v>
      </c>
      <c r="V20" s="60">
        <v>0</v>
      </c>
      <c r="W20" s="154"/>
      <c r="X20" s="131">
        <v>0.12055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0.14199999999999999</v>
      </c>
      <c r="N22" s="139">
        <f t="shared" si="0"/>
        <v>36.409999999999997</v>
      </c>
      <c r="O22" s="115" t="e">
        <f>(#REF!/L22)</f>
        <v>#REF!</v>
      </c>
      <c r="P22" s="116">
        <v>0.62970000000000004</v>
      </c>
      <c r="Q22" s="57">
        <f t="shared" si="2"/>
        <v>7.29</v>
      </c>
      <c r="R22" s="116">
        <v>0.70065900000000003</v>
      </c>
      <c r="S22" s="153">
        <v>0</v>
      </c>
      <c r="T22" s="153">
        <v>0</v>
      </c>
      <c r="U22" s="116">
        <f t="shared" si="1"/>
        <v>0.70065900000000003</v>
      </c>
      <c r="V22" s="116">
        <v>0</v>
      </c>
      <c r="W22" s="156"/>
      <c r="X22" s="131">
        <v>0.55169999999999997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1125.6099999999999</v>
      </c>
      <c r="N23" s="194">
        <f t="shared" si="0"/>
        <v>31.73</v>
      </c>
      <c r="O23" s="194" t="e">
        <f>(#REF!/L23)</f>
        <v>#REF!</v>
      </c>
      <c r="P23" s="89"/>
      <c r="Q23" s="194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K6" sqref="K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158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2328.1999999999998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420.459</v>
      </c>
      <c r="N5" s="126">
        <f t="shared" ref="N5:N23" si="0">ROUND((M5/L5)*100,2)</f>
        <v>28.81</v>
      </c>
      <c r="O5" s="58" t="e">
        <f>(#REF!/L5)</f>
        <v>#REF!</v>
      </c>
      <c r="P5" s="59">
        <v>3.278</v>
      </c>
      <c r="Q5" s="58">
        <f>ROUND((P5*1000000/(24*3600)),2)</f>
        <v>37.94</v>
      </c>
      <c r="R5" s="59">
        <v>1.2014</v>
      </c>
      <c r="S5" s="149">
        <v>0</v>
      </c>
      <c r="T5" s="149">
        <v>0</v>
      </c>
      <c r="U5" s="59">
        <f t="shared" ref="U5:U22" si="1">R5+S5</f>
        <v>1.2014</v>
      </c>
      <c r="V5" s="59">
        <v>4.5999999999999996</v>
      </c>
      <c r="W5" s="152"/>
      <c r="X5" s="131">
        <v>1.746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143.80000000000001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382.73</v>
      </c>
      <c r="N6" s="127">
        <f t="shared" si="0"/>
        <v>37.6</v>
      </c>
      <c r="O6" s="57" t="e">
        <f>(#REF!/L6)</f>
        <v>#REF!</v>
      </c>
      <c r="P6" s="60">
        <v>1.7616000000000001</v>
      </c>
      <c r="Q6" s="57">
        <f>ROUND((P6*1000000/(24*3600)),2)</f>
        <v>20.39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9.8000000000000007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954.57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139.88999999999999</v>
      </c>
      <c r="N7" s="126">
        <f t="shared" si="0"/>
        <v>31.33</v>
      </c>
      <c r="O7" s="58" t="e">
        <f>(#REF!/L7)</f>
        <v>#REF!</v>
      </c>
      <c r="P7" s="59">
        <v>0.93720000000000003</v>
      </c>
      <c r="Q7" s="58">
        <f t="shared" ref="Q7:Q22" si="2">ROUND((P7*1000000/(24*3600)),2)</f>
        <v>10.85</v>
      </c>
      <c r="R7" s="59">
        <v>0.23719999999999999</v>
      </c>
      <c r="S7" s="149">
        <v>0</v>
      </c>
      <c r="T7" s="149">
        <v>0</v>
      </c>
      <c r="U7" s="59">
        <f t="shared" si="1"/>
        <v>0.23719999999999999</v>
      </c>
      <c r="V7" s="59">
        <v>6</v>
      </c>
      <c r="W7" s="151"/>
      <c r="X7" s="131">
        <v>0.38250000000000001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762.85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66.349999999999994</v>
      </c>
      <c r="N8" s="127">
        <f t="shared" si="0"/>
        <v>33.01</v>
      </c>
      <c r="O8" s="57" t="e">
        <f>(#REF!/L8)</f>
        <v>#REF!</v>
      </c>
      <c r="P8" s="60">
        <v>2</v>
      </c>
      <c r="Q8" s="57">
        <f>ROUND((P8*1000000/(24*3600)),2)</f>
        <v>23.15</v>
      </c>
      <c r="R8" s="60"/>
      <c r="S8" s="147">
        <v>0</v>
      </c>
      <c r="T8" s="147">
        <v>0</v>
      </c>
      <c r="U8" s="60">
        <f t="shared" si="1"/>
        <v>0</v>
      </c>
      <c r="V8" s="60">
        <v>56.4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2617.6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53.37</v>
      </c>
      <c r="N9" s="126">
        <f t="shared" si="0"/>
        <v>35.799999999999997</v>
      </c>
      <c r="O9" s="58" t="e">
        <f>(#REF!/L9)</f>
        <v>#REF!</v>
      </c>
      <c r="P9" s="59">
        <v>1.5007999999999999</v>
      </c>
      <c r="Q9" s="58">
        <f t="shared" si="2"/>
        <v>17.37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15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1567.2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1.49</v>
      </c>
      <c r="N10" s="127">
        <f t="shared" si="0"/>
        <v>2.72</v>
      </c>
      <c r="O10" s="57" t="e">
        <f>(#REF!/L10)</f>
        <v>#REF!</v>
      </c>
      <c r="P10" s="60">
        <v>0.189</v>
      </c>
      <c r="Q10" s="57">
        <f t="shared" si="2"/>
        <v>2.19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1.2</v>
      </c>
      <c r="W10" s="150" t="s">
        <v>151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1195.8800000000001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11.5611</v>
      </c>
      <c r="N11" s="126">
        <f t="shared" si="0"/>
        <v>23.2</v>
      </c>
      <c r="O11" s="58" t="e">
        <f>(#REF!/L11)</f>
        <v>#REF!</v>
      </c>
      <c r="P11" s="59">
        <v>5.1999999999999998E-2</v>
      </c>
      <c r="Q11" s="59">
        <f t="shared" si="2"/>
        <v>0.6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692.4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17.7622</v>
      </c>
      <c r="N12" s="127">
        <f t="shared" si="0"/>
        <v>37.47</v>
      </c>
      <c r="O12" s="57" t="e">
        <f>(#REF!/L12)</f>
        <v>#REF!</v>
      </c>
      <c r="P12" s="60">
        <v>7.9000000000000001E-2</v>
      </c>
      <c r="Q12" s="57">
        <f t="shared" si="2"/>
        <v>0.91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3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750.05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15.090999999999999</v>
      </c>
      <c r="N13" s="126">
        <f t="shared" si="0"/>
        <v>44.41</v>
      </c>
      <c r="O13" s="58" t="e">
        <f>(#REF!/L13)</f>
        <v>#REF!</v>
      </c>
      <c r="P13" s="59">
        <v>1.4258</v>
      </c>
      <c r="Q13" s="58">
        <f t="shared" si="2"/>
        <v>16.5</v>
      </c>
      <c r="R13" s="59">
        <v>0.44979999999999998</v>
      </c>
      <c r="S13" s="149">
        <v>0</v>
      </c>
      <c r="T13" s="149">
        <v>0</v>
      </c>
      <c r="U13" s="59">
        <f t="shared" si="1"/>
        <v>0.44979999999999998</v>
      </c>
      <c r="V13" s="59">
        <v>81</v>
      </c>
      <c r="W13" s="152"/>
      <c r="X13" s="131">
        <v>0.63400000000000001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964.2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0.77</v>
      </c>
      <c r="N14" s="127">
        <f t="shared" si="0"/>
        <v>2.4700000000000002</v>
      </c>
      <c r="O14" s="57" t="e">
        <f>(#REF!/L14)</f>
        <v>#REF!</v>
      </c>
      <c r="P14" s="60">
        <v>0.74099999999999999</v>
      </c>
      <c r="Q14" s="57">
        <f>ROUND((P14*1000000/(24*3600)),2)</f>
        <v>8.58</v>
      </c>
      <c r="R14" s="60"/>
      <c r="S14" s="147">
        <v>0</v>
      </c>
      <c r="T14" s="147">
        <v>0</v>
      </c>
      <c r="U14" s="60">
        <f t="shared" si="1"/>
        <v>0</v>
      </c>
      <c r="V14" s="60">
        <v>4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417.2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13.5</v>
      </c>
      <c r="N15" s="126">
        <f t="shared" si="0"/>
        <v>44.55</v>
      </c>
      <c r="O15" s="58" t="e">
        <f>(#REF!/L15)</f>
        <v>#REF!</v>
      </c>
      <c r="P15" s="59">
        <v>1.3703000000000001</v>
      </c>
      <c r="Q15" s="58">
        <f t="shared" si="2"/>
        <v>15.86</v>
      </c>
      <c r="R15" s="59">
        <v>1.2703</v>
      </c>
      <c r="S15" s="149">
        <v>0</v>
      </c>
      <c r="T15" s="149">
        <f>Y15</f>
        <v>0</v>
      </c>
      <c r="U15" s="59">
        <f t="shared" si="1"/>
        <v>1.2703</v>
      </c>
      <c r="V15" s="59">
        <v>12</v>
      </c>
      <c r="W15" s="151" t="s">
        <v>136</v>
      </c>
      <c r="X15" s="131">
        <v>0.49898999999999999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1748.3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2.008</v>
      </c>
      <c r="N16" s="127">
        <f t="shared" si="0"/>
        <v>26.25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0.2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453.2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4.3209999999999997</v>
      </c>
      <c r="N17" s="126">
        <f t="shared" si="0"/>
        <v>67.2</v>
      </c>
      <c r="O17" s="58" t="e">
        <f>(#REF!/L17)</f>
        <v>#REF!</v>
      </c>
      <c r="P17" s="59">
        <v>1.1537999999999999</v>
      </c>
      <c r="Q17" s="57">
        <f t="shared" si="2"/>
        <v>13.35</v>
      </c>
      <c r="R17" s="59">
        <v>1.0261899999999999</v>
      </c>
      <c r="S17" s="149">
        <v>0</v>
      </c>
      <c r="T17" s="149">
        <v>0</v>
      </c>
      <c r="U17" s="59">
        <f t="shared" si="1"/>
        <v>1.0261899999999999</v>
      </c>
      <c r="V17" s="59">
        <v>5</v>
      </c>
      <c r="W17" s="150"/>
      <c r="X17" s="131">
        <v>0.48209999999999997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249.3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3.0169999999999999</v>
      </c>
      <c r="N19" s="126">
        <f t="shared" si="0"/>
        <v>66.31</v>
      </c>
      <c r="O19" s="58" t="e">
        <f>(#REF!/L19)</f>
        <v>#REF!</v>
      </c>
      <c r="P19" s="59">
        <v>1.7874000000000001</v>
      </c>
      <c r="Q19" s="57">
        <f t="shared" si="2"/>
        <v>20.69</v>
      </c>
      <c r="R19" s="59">
        <v>1.7094</v>
      </c>
      <c r="S19" s="149">
        <v>0</v>
      </c>
      <c r="T19" s="149">
        <v>0</v>
      </c>
      <c r="U19" s="59">
        <f t="shared" si="1"/>
        <v>1.7094</v>
      </c>
      <c r="V19" s="59">
        <v>6</v>
      </c>
      <c r="W19" s="151"/>
      <c r="X19" s="131">
        <v>0.78700000000000003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186.15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0.38</v>
      </c>
      <c r="N20" s="127">
        <f t="shared" si="0"/>
        <v>32.76</v>
      </c>
      <c r="O20" s="57" t="e">
        <f>(#REF!/L20)</f>
        <v>#REF!</v>
      </c>
      <c r="P20" s="60">
        <v>0.36599999999999999</v>
      </c>
      <c r="Q20" s="57">
        <f t="shared" si="2"/>
        <v>4.24</v>
      </c>
      <c r="R20" s="60">
        <v>0.38824500000000001</v>
      </c>
      <c r="S20" s="147">
        <v>0</v>
      </c>
      <c r="T20" s="153">
        <v>0</v>
      </c>
      <c r="U20" s="60">
        <f t="shared" si="1"/>
        <v>0.38824500000000001</v>
      </c>
      <c r="V20" s="60">
        <v>2</v>
      </c>
      <c r="W20" s="154"/>
      <c r="X20" s="131">
        <v>0.11946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846.65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0.154</v>
      </c>
      <c r="N22" s="139">
        <f t="shared" si="0"/>
        <v>39.49</v>
      </c>
      <c r="O22" s="115" t="e">
        <f>(#REF!/L22)</f>
        <v>#REF!</v>
      </c>
      <c r="P22" s="116">
        <v>0.72840000000000005</v>
      </c>
      <c r="Q22" s="57">
        <f t="shared" si="2"/>
        <v>8.43</v>
      </c>
      <c r="R22" s="116">
        <v>0.716534</v>
      </c>
      <c r="S22" s="153">
        <v>0</v>
      </c>
      <c r="T22" s="153">
        <v>0</v>
      </c>
      <c r="U22" s="116">
        <f t="shared" si="1"/>
        <v>0.716534</v>
      </c>
      <c r="V22" s="116">
        <v>0</v>
      </c>
      <c r="W22" s="156"/>
      <c r="X22" s="131">
        <v>0.56420000000000003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1133.75</v>
      </c>
      <c r="N23" s="195">
        <f t="shared" si="0"/>
        <v>31.96</v>
      </c>
      <c r="O23" s="195" t="e">
        <f>(#REF!/L23)</f>
        <v>#REF!</v>
      </c>
      <c r="P23" s="89"/>
      <c r="Q23" s="195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159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160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2328.2600000000002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421.1</v>
      </c>
      <c r="N5" s="126">
        <f t="shared" ref="N5:N23" si="0">ROUND((M5/L5)*100,2)</f>
        <v>28.85</v>
      </c>
      <c r="O5" s="58" t="e">
        <f>(#REF!/L5)</f>
        <v>#REF!</v>
      </c>
      <c r="P5" s="59">
        <v>2.5830000000000002</v>
      </c>
      <c r="Q5" s="58">
        <f>ROUND((P5*1000000/(24*3600)),2)</f>
        <v>29.9</v>
      </c>
      <c r="R5" s="59">
        <v>1.7876000000000001</v>
      </c>
      <c r="S5" s="149">
        <v>0</v>
      </c>
      <c r="T5" s="149">
        <v>0</v>
      </c>
      <c r="U5" s="59">
        <f t="shared" ref="U5:U22" si="1">R5+S5</f>
        <v>1.7876000000000001</v>
      </c>
      <c r="V5" s="59">
        <v>1</v>
      </c>
      <c r="W5" s="152"/>
      <c r="X5" s="131">
        <v>2.5979999999999999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143.9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384.66500000000002</v>
      </c>
      <c r="N6" s="127">
        <f t="shared" si="0"/>
        <v>37.79</v>
      </c>
      <c r="O6" s="57" t="e">
        <f>(#REF!/L6)</f>
        <v>#REF!</v>
      </c>
      <c r="P6" s="60">
        <v>2.3597000000000001</v>
      </c>
      <c r="Q6" s="57">
        <f>ROUND((P6*1000000/(24*3600)),2)</f>
        <v>27.31</v>
      </c>
      <c r="R6" s="60">
        <v>0.40849999999999997</v>
      </c>
      <c r="S6" s="147">
        <v>0</v>
      </c>
      <c r="T6" s="147">
        <v>0</v>
      </c>
      <c r="U6" s="60">
        <f t="shared" si="1"/>
        <v>0.40849999999999997</v>
      </c>
      <c r="V6" s="60">
        <v>3</v>
      </c>
      <c r="W6" s="148"/>
      <c r="X6" s="131">
        <v>0.10199999999999999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954.65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140.44999999999999</v>
      </c>
      <c r="N7" s="126">
        <f t="shared" si="0"/>
        <v>31.46</v>
      </c>
      <c r="O7" s="58" t="e">
        <f>(#REF!/L7)</f>
        <v>#REF!</v>
      </c>
      <c r="P7" s="59">
        <v>0.93049999999999999</v>
      </c>
      <c r="Q7" s="58">
        <f t="shared" ref="Q7:Q22" si="2">ROUND((P7*1000000/(24*3600)),2)</f>
        <v>10.77</v>
      </c>
      <c r="R7" s="59">
        <v>0.3705</v>
      </c>
      <c r="S7" s="149">
        <v>0</v>
      </c>
      <c r="T7" s="149">
        <v>0</v>
      </c>
      <c r="U7" s="59">
        <f t="shared" si="1"/>
        <v>0.3705</v>
      </c>
      <c r="V7" s="59">
        <v>5</v>
      </c>
      <c r="W7" s="151"/>
      <c r="X7" s="131">
        <v>0.59750000000000003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763.15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68.95</v>
      </c>
      <c r="N8" s="127">
        <f t="shared" si="0"/>
        <v>34.299999999999997</v>
      </c>
      <c r="O8" s="57" t="e">
        <f>(#REF!/L8)</f>
        <v>#REF!</v>
      </c>
      <c r="P8" s="60">
        <v>2.6</v>
      </c>
      <c r="Q8" s="57">
        <f>ROUND((P8*1000000/(24*3600)),2)</f>
        <v>30.09</v>
      </c>
      <c r="R8" s="60"/>
      <c r="S8" s="147">
        <v>0</v>
      </c>
      <c r="T8" s="147">
        <v>0</v>
      </c>
      <c r="U8" s="60">
        <f t="shared" si="1"/>
        <v>0</v>
      </c>
      <c r="V8" s="60">
        <v>14.2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2618.4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54.57</v>
      </c>
      <c r="N9" s="126">
        <f t="shared" si="0"/>
        <v>36.6</v>
      </c>
      <c r="O9" s="58" t="e">
        <f>(#REF!/L9)</f>
        <v>#REF!</v>
      </c>
      <c r="P9" s="59">
        <v>1.2007000000000001</v>
      </c>
      <c r="Q9" s="58">
        <f t="shared" si="2"/>
        <v>13.9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5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1566.8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1.0900000000000001</v>
      </c>
      <c r="N10" s="127">
        <f t="shared" si="0"/>
        <v>1.99</v>
      </c>
      <c r="O10" s="57" t="e">
        <f>(#REF!/L10)</f>
        <v>#REF!</v>
      </c>
      <c r="P10" s="60">
        <v>0</v>
      </c>
      <c r="Q10" s="57">
        <f t="shared" si="2"/>
        <v>0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161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1195.9000000000001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11.595800000000001</v>
      </c>
      <c r="N11" s="126">
        <f t="shared" si="0"/>
        <v>23.27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17.920100000000001</v>
      </c>
      <c r="N12" s="127">
        <f t="shared" si="0"/>
        <v>37.81</v>
      </c>
      <c r="O12" s="57" t="e">
        <f>(#REF!/L12)</f>
        <v>#REF!</v>
      </c>
      <c r="P12" s="60">
        <v>0.15790000000000001</v>
      </c>
      <c r="Q12" s="57">
        <f t="shared" si="2"/>
        <v>1.83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0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750.66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17.111000000000001</v>
      </c>
      <c r="N13" s="126">
        <f t="shared" si="0"/>
        <v>50.36</v>
      </c>
      <c r="O13" s="58" t="e">
        <f>(#REF!/L13)</f>
        <v>#REF!</v>
      </c>
      <c r="P13" s="59">
        <v>1.6832</v>
      </c>
      <c r="Q13" s="58">
        <f t="shared" si="2"/>
        <v>19.48</v>
      </c>
      <c r="R13" s="59">
        <v>0.4632</v>
      </c>
      <c r="S13" s="149">
        <v>0</v>
      </c>
      <c r="T13" s="149">
        <v>0</v>
      </c>
      <c r="U13" s="59">
        <f t="shared" si="1"/>
        <v>0.4632</v>
      </c>
      <c r="V13" s="59">
        <v>25</v>
      </c>
      <c r="W13" s="152"/>
      <c r="X13" s="131">
        <v>0.65239999999999998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964.15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0.73</v>
      </c>
      <c r="N14" s="127">
        <f t="shared" si="0"/>
        <v>2.34</v>
      </c>
      <c r="O14" s="57" t="e">
        <f>(#REF!/L14)</f>
        <v>#REF!</v>
      </c>
      <c r="P14" s="60">
        <v>0.68500000000000005</v>
      </c>
      <c r="Q14" s="57">
        <f>ROUND((P14*1000000/(24*3600)),2)</f>
        <v>7.93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417.35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13.8</v>
      </c>
      <c r="N15" s="126">
        <f t="shared" si="0"/>
        <v>45.54</v>
      </c>
      <c r="O15" s="58" t="e">
        <f>(#REF!/L15)</f>
        <v>#REF!</v>
      </c>
      <c r="P15" s="59">
        <v>1.5485</v>
      </c>
      <c r="Q15" s="58">
        <f t="shared" si="2"/>
        <v>17.920000000000002</v>
      </c>
      <c r="R15" s="59">
        <v>1.2484999999999999</v>
      </c>
      <c r="S15" s="149">
        <v>0</v>
      </c>
      <c r="T15" s="149">
        <f>Y15</f>
        <v>0</v>
      </c>
      <c r="U15" s="59">
        <f t="shared" si="1"/>
        <v>1.2484999999999999</v>
      </c>
      <c r="V15" s="59">
        <v>10.6</v>
      </c>
      <c r="W15" s="151" t="s">
        <v>136</v>
      </c>
      <c r="X15" s="131">
        <v>0.50180000000000002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1748.35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2.0259999999999998</v>
      </c>
      <c r="N16" s="127">
        <f t="shared" si="0"/>
        <v>26.48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453.3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4.38</v>
      </c>
      <c r="N17" s="126">
        <f t="shared" si="0"/>
        <v>68.12</v>
      </c>
      <c r="O17" s="58" t="e">
        <f>(#REF!/L17)</f>
        <v>#REF!</v>
      </c>
      <c r="P17" s="59">
        <v>0.76539999999999997</v>
      </c>
      <c r="Q17" s="57">
        <f t="shared" si="2"/>
        <v>8.86</v>
      </c>
      <c r="R17" s="59">
        <v>0.70658799999999999</v>
      </c>
      <c r="S17" s="149">
        <v>0</v>
      </c>
      <c r="T17" s="149">
        <v>0</v>
      </c>
      <c r="U17" s="59">
        <f t="shared" si="1"/>
        <v>0.70658799999999999</v>
      </c>
      <c r="V17" s="59">
        <v>0</v>
      </c>
      <c r="W17" s="150"/>
      <c r="X17" s="131">
        <v>0.33050000000000002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249.2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2.9780000000000002</v>
      </c>
      <c r="N19" s="126">
        <f t="shared" si="0"/>
        <v>65.45</v>
      </c>
      <c r="O19" s="58" t="e">
        <f>(#REF!/L19)</f>
        <v>#REF!</v>
      </c>
      <c r="P19" s="59">
        <v>1.3597999999999999</v>
      </c>
      <c r="Q19" s="57">
        <f t="shared" si="2"/>
        <v>15.74</v>
      </c>
      <c r="R19" s="59">
        <v>1.3988</v>
      </c>
      <c r="S19" s="149">
        <v>0</v>
      </c>
      <c r="T19" s="149">
        <v>0</v>
      </c>
      <c r="U19" s="59">
        <f t="shared" si="1"/>
        <v>1.3988</v>
      </c>
      <c r="V19" s="59">
        <v>2</v>
      </c>
      <c r="W19" s="151"/>
      <c r="X19" s="131">
        <v>0.64400000000000002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186.4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0.40500000000000003</v>
      </c>
      <c r="N20" s="127">
        <f t="shared" si="0"/>
        <v>34.909999999999997</v>
      </c>
      <c r="O20" s="57" t="e">
        <f>(#REF!/L20)</f>
        <v>#REF!</v>
      </c>
      <c r="P20" s="60">
        <v>0.51</v>
      </c>
      <c r="Q20" s="57">
        <f t="shared" si="2"/>
        <v>5.9</v>
      </c>
      <c r="R20" s="60">
        <v>0.32440000000000002</v>
      </c>
      <c r="S20" s="147">
        <v>0</v>
      </c>
      <c r="T20" s="153">
        <v>0</v>
      </c>
      <c r="U20" s="60">
        <f t="shared" si="1"/>
        <v>0.32440000000000002</v>
      </c>
      <c r="V20" s="60">
        <v>9</v>
      </c>
      <c r="W20" s="154"/>
      <c r="X20" s="131">
        <v>9.9820000000000006E-2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0.16500000000000001</v>
      </c>
      <c r="N22" s="139">
        <f t="shared" si="0"/>
        <v>42.31</v>
      </c>
      <c r="O22" s="115" t="e">
        <f>(#REF!/L22)</f>
        <v>#REF!</v>
      </c>
      <c r="P22" s="116">
        <v>0.6492</v>
      </c>
      <c r="Q22" s="57">
        <f t="shared" si="2"/>
        <v>7.51</v>
      </c>
      <c r="R22" s="116">
        <v>0.63741300000000001</v>
      </c>
      <c r="S22" s="153">
        <v>0</v>
      </c>
      <c r="T22" s="153">
        <v>0</v>
      </c>
      <c r="U22" s="116">
        <f t="shared" si="1"/>
        <v>0.63741300000000001</v>
      </c>
      <c r="V22" s="116">
        <v>0</v>
      </c>
      <c r="W22" s="156"/>
      <c r="X22" s="131">
        <v>0.50190000000000001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1142.8399999999999</v>
      </c>
      <c r="N23" s="196">
        <f t="shared" si="0"/>
        <v>32.21</v>
      </c>
      <c r="O23" s="196" t="e">
        <f>(#REF!/L23)</f>
        <v>#REF!</v>
      </c>
      <c r="P23" s="89"/>
      <c r="Q23" s="196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159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F7" sqref="F7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164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2328.16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420.03199999999998</v>
      </c>
      <c r="N5" s="126">
        <f t="shared" ref="N5:N23" si="0">ROUND((M5/L5)*100,2)</f>
        <v>28.78</v>
      </c>
      <c r="O5" s="58" t="e">
        <f>(#REF!/L5)</f>
        <v>#REF!</v>
      </c>
      <c r="P5" s="59">
        <v>2.3849999999999998</v>
      </c>
      <c r="Q5" s="58">
        <f>ROUND((P5*1000000/(24*3600)),2)</f>
        <v>27.6</v>
      </c>
      <c r="R5" s="59">
        <v>3.2972999999999999</v>
      </c>
      <c r="S5" s="149">
        <v>0</v>
      </c>
      <c r="T5" s="149">
        <v>0</v>
      </c>
      <c r="U5" s="59">
        <f t="shared" ref="U5:U22" si="1">R5+S5</f>
        <v>3.2972999999999999</v>
      </c>
      <c r="V5" s="59">
        <v>1.6</v>
      </c>
      <c r="W5" s="152"/>
      <c r="X5" s="131">
        <v>4.7919999999999998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143.94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385.43900000000002</v>
      </c>
      <c r="N6" s="127">
        <f t="shared" si="0"/>
        <v>37.869999999999997</v>
      </c>
      <c r="O6" s="57" t="e">
        <f>(#REF!/L6)</f>
        <v>#REF!</v>
      </c>
      <c r="P6" s="60">
        <v>1.823</v>
      </c>
      <c r="Q6" s="57">
        <f>ROUND((P6*1000000/(24*3600)),2)</f>
        <v>21.1</v>
      </c>
      <c r="R6" s="60">
        <v>1.0123</v>
      </c>
      <c r="S6" s="147">
        <v>0</v>
      </c>
      <c r="T6" s="147">
        <v>0</v>
      </c>
      <c r="U6" s="60">
        <f t="shared" si="1"/>
        <v>1.0123</v>
      </c>
      <c r="V6" s="60">
        <v>0.6</v>
      </c>
      <c r="W6" s="148"/>
      <c r="X6" s="131">
        <v>0.25290000000000001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954.65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140.44999999999999</v>
      </c>
      <c r="N7" s="126">
        <f t="shared" si="0"/>
        <v>31.46</v>
      </c>
      <c r="O7" s="58" t="e">
        <f>(#REF!/L7)</f>
        <v>#REF!</v>
      </c>
      <c r="P7" s="59">
        <v>0.72850000000000004</v>
      </c>
      <c r="Q7" s="58">
        <f t="shared" ref="Q7:Q22" si="2">ROUND((P7*1000000/(24*3600)),2)</f>
        <v>8.43</v>
      </c>
      <c r="R7" s="59">
        <v>0.72850000000000004</v>
      </c>
      <c r="S7" s="149">
        <v>0</v>
      </c>
      <c r="T7" s="149">
        <v>0</v>
      </c>
      <c r="U7" s="59">
        <f t="shared" si="1"/>
        <v>0.72850000000000004</v>
      </c>
      <c r="V7" s="59">
        <v>2</v>
      </c>
      <c r="W7" s="151"/>
      <c r="X7" s="131">
        <v>1.175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763.35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70.349999999999994</v>
      </c>
      <c r="N8" s="127">
        <f t="shared" si="0"/>
        <v>35</v>
      </c>
      <c r="O8" s="57" t="e">
        <f>(#REF!/L8)</f>
        <v>#REF!</v>
      </c>
      <c r="P8" s="60">
        <v>1.4</v>
      </c>
      <c r="Q8" s="57">
        <f>ROUND((P8*1000000/(24*3600)),2)</f>
        <v>16.2</v>
      </c>
      <c r="R8" s="60"/>
      <c r="S8" s="147">
        <v>0</v>
      </c>
      <c r="T8" s="147">
        <v>0</v>
      </c>
      <c r="U8" s="60">
        <f t="shared" si="1"/>
        <v>0</v>
      </c>
      <c r="V8" s="60">
        <v>20.6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2619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55.47</v>
      </c>
      <c r="N9" s="126">
        <f t="shared" si="0"/>
        <v>37.21</v>
      </c>
      <c r="O9" s="58" t="e">
        <f>(#REF!/L9)</f>
        <v>#REF!</v>
      </c>
      <c r="P9" s="59">
        <v>1.2399</v>
      </c>
      <c r="Q9" s="58">
        <f t="shared" si="2"/>
        <v>14.35</v>
      </c>
      <c r="R9" s="59">
        <v>0.33939999999999998</v>
      </c>
      <c r="S9" s="149">
        <v>0</v>
      </c>
      <c r="T9" s="149">
        <v>0</v>
      </c>
      <c r="U9" s="59">
        <f t="shared" si="1"/>
        <v>0.33939999999999998</v>
      </c>
      <c r="V9" s="59">
        <v>2</v>
      </c>
      <c r="W9" s="151"/>
      <c r="X9" s="131">
        <v>0.22020000000000001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1566.6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0.89</v>
      </c>
      <c r="N10" s="127">
        <f t="shared" si="0"/>
        <v>1.62</v>
      </c>
      <c r="O10" s="57" t="e">
        <f>(#REF!/L10)</f>
        <v>#REF!</v>
      </c>
      <c r="P10" s="60">
        <v>0.28899999999999998</v>
      </c>
      <c r="Q10" s="57">
        <f t="shared" si="2"/>
        <v>3.34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163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1195.92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11.6305</v>
      </c>
      <c r="N11" s="126">
        <f t="shared" si="0"/>
        <v>23.34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692.4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17.7622</v>
      </c>
      <c r="N12" s="127">
        <f t="shared" si="0"/>
        <v>37.47</v>
      </c>
      <c r="O12" s="57" t="e">
        <f>(#REF!/L12)</f>
        <v>#REF!</v>
      </c>
      <c r="P12" s="60">
        <v>0.15060000000000001</v>
      </c>
      <c r="Q12" s="57">
        <f t="shared" si="2"/>
        <v>1.74</v>
      </c>
      <c r="R12" s="60">
        <v>0.30851000000000001</v>
      </c>
      <c r="S12" s="147">
        <v>0</v>
      </c>
      <c r="T12" s="147">
        <v>0</v>
      </c>
      <c r="U12" s="60">
        <f>R12+S12</f>
        <v>0.30851000000000001</v>
      </c>
      <c r="V12" s="60">
        <v>0</v>
      </c>
      <c r="W12" s="150"/>
      <c r="X12" s="131">
        <v>0.12670000000000001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750.87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17.538</v>
      </c>
      <c r="N13" s="126">
        <f t="shared" si="0"/>
        <v>51.61</v>
      </c>
      <c r="O13" s="58" t="e">
        <f>(#REF!/L13)</f>
        <v>#REF!</v>
      </c>
      <c r="P13" s="59">
        <v>1.1317999999999999</v>
      </c>
      <c r="Q13" s="58">
        <f t="shared" si="2"/>
        <v>13.1</v>
      </c>
      <c r="R13" s="59">
        <v>0.70479999999999998</v>
      </c>
      <c r="S13" s="149">
        <v>0</v>
      </c>
      <c r="T13" s="149">
        <v>0</v>
      </c>
      <c r="U13" s="59">
        <f t="shared" si="1"/>
        <v>0.70479999999999998</v>
      </c>
      <c r="V13" s="59">
        <v>29</v>
      </c>
      <c r="W13" s="152"/>
      <c r="X13" s="131">
        <v>0.99609999999999999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964.1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0.69</v>
      </c>
      <c r="N14" s="127">
        <f t="shared" si="0"/>
        <v>2.2200000000000002</v>
      </c>
      <c r="O14" s="57" t="e">
        <f>(#REF!/L14)</f>
        <v>#REF!</v>
      </c>
      <c r="P14" s="60">
        <v>0.63100000000000001</v>
      </c>
      <c r="Q14" s="57">
        <f>ROUND((P14*1000000/(24*3600)),2)</f>
        <v>7.3</v>
      </c>
      <c r="R14" s="60"/>
      <c r="S14" s="147">
        <v>0</v>
      </c>
      <c r="T14" s="147">
        <v>0</v>
      </c>
      <c r="U14" s="60">
        <f t="shared" si="1"/>
        <v>0</v>
      </c>
      <c r="V14" s="60">
        <v>0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417.2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13.5</v>
      </c>
      <c r="N15" s="126">
        <f t="shared" si="0"/>
        <v>44.55</v>
      </c>
      <c r="O15" s="58" t="e">
        <f>(#REF!/L15)</f>
        <v>#REF!</v>
      </c>
      <c r="P15" s="59">
        <v>1.7606999999999999</v>
      </c>
      <c r="Q15" s="58">
        <f t="shared" si="2"/>
        <v>20.38</v>
      </c>
      <c r="R15" s="59">
        <v>2.0607000000000002</v>
      </c>
      <c r="S15" s="149">
        <v>0</v>
      </c>
      <c r="T15" s="149">
        <f>Y15</f>
        <v>0</v>
      </c>
      <c r="U15" s="59">
        <f t="shared" si="1"/>
        <v>2.0607000000000002</v>
      </c>
      <c r="V15" s="59">
        <v>2.6</v>
      </c>
      <c r="W15" s="151" t="s">
        <v>136</v>
      </c>
      <c r="X15" s="131">
        <v>0.82264000000000004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1748.4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2.044</v>
      </c>
      <c r="N16" s="127">
        <f t="shared" si="0"/>
        <v>26.72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453.35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4.4109999999999996</v>
      </c>
      <c r="N17" s="126">
        <f t="shared" si="0"/>
        <v>68.599999999999994</v>
      </c>
      <c r="O17" s="58" t="e">
        <f>(#REF!/L17)</f>
        <v>#REF!</v>
      </c>
      <c r="P17" s="59">
        <v>1.2282999999999999</v>
      </c>
      <c r="Q17" s="57">
        <f t="shared" si="2"/>
        <v>14.22</v>
      </c>
      <c r="R17" s="59">
        <v>1.1966000000000001</v>
      </c>
      <c r="S17" s="149">
        <v>0</v>
      </c>
      <c r="T17" s="149">
        <v>0</v>
      </c>
      <c r="U17" s="59">
        <f t="shared" si="1"/>
        <v>1.1966000000000001</v>
      </c>
      <c r="V17" s="59">
        <v>0</v>
      </c>
      <c r="W17" s="150"/>
      <c r="X17" s="131">
        <v>0.55930000000000002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249.2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2.9780000000000002</v>
      </c>
      <c r="N19" s="126">
        <f t="shared" si="0"/>
        <v>65.45</v>
      </c>
      <c r="O19" s="58" t="e">
        <f>(#REF!/L19)</f>
        <v>#REF!</v>
      </c>
      <c r="P19" s="59">
        <v>1.7419</v>
      </c>
      <c r="Q19" s="57">
        <f t="shared" si="2"/>
        <v>20.16</v>
      </c>
      <c r="R19" s="59">
        <v>1.7419</v>
      </c>
      <c r="S19" s="149">
        <v>0</v>
      </c>
      <c r="T19" s="149">
        <v>0</v>
      </c>
      <c r="U19" s="59">
        <f t="shared" si="1"/>
        <v>1.7419</v>
      </c>
      <c r="V19" s="59">
        <v>1</v>
      </c>
      <c r="W19" s="151"/>
      <c r="X19" s="131">
        <v>0.80200000000000005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0.41499999999999998</v>
      </c>
      <c r="N20" s="127">
        <f t="shared" si="0"/>
        <v>35.78</v>
      </c>
      <c r="O20" s="57" t="e">
        <f>(#REF!/L20)</f>
        <v>#REF!</v>
      </c>
      <c r="P20" s="60">
        <v>0.876</v>
      </c>
      <c r="Q20" s="57">
        <f t="shared" si="2"/>
        <v>10.14</v>
      </c>
      <c r="R20" s="60">
        <v>0.22328999999999999</v>
      </c>
      <c r="S20" s="147">
        <v>0</v>
      </c>
      <c r="T20" s="153">
        <v>0</v>
      </c>
      <c r="U20" s="60">
        <f t="shared" si="1"/>
        <v>0.22328999999999999</v>
      </c>
      <c r="V20" s="60">
        <v>2</v>
      </c>
      <c r="W20" s="154"/>
      <c r="X20" s="131">
        <v>0.72569249999999996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0.17699999999999999</v>
      </c>
      <c r="N22" s="139">
        <f t="shared" si="0"/>
        <v>45.38</v>
      </c>
      <c r="O22" s="115" t="e">
        <f>(#REF!/L22)</f>
        <v>#REF!</v>
      </c>
      <c r="P22" s="116">
        <v>0.58220000000000005</v>
      </c>
      <c r="Q22" s="57">
        <f t="shared" si="2"/>
        <v>6.74</v>
      </c>
      <c r="R22" s="116">
        <v>0.570357</v>
      </c>
      <c r="S22" s="153">
        <v>0</v>
      </c>
      <c r="T22" s="153">
        <v>0</v>
      </c>
      <c r="U22" s="116">
        <f t="shared" si="1"/>
        <v>0.570357</v>
      </c>
      <c r="V22" s="116">
        <v>0</v>
      </c>
      <c r="W22" s="156"/>
      <c r="X22" s="131">
        <v>0.4491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1144.68</v>
      </c>
      <c r="N23" s="197">
        <f t="shared" si="0"/>
        <v>32.270000000000003</v>
      </c>
      <c r="O23" s="197" t="e">
        <f>(#REF!/L23)</f>
        <v>#REF!</v>
      </c>
      <c r="P23" s="89"/>
      <c r="Q23" s="197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159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sqref="A1:XFD1048576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162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2328.1999999999998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420.459</v>
      </c>
      <c r="N5" s="126">
        <f t="shared" ref="N5:N23" si="0">ROUND((M5/L5)*100,2)</f>
        <v>28.81</v>
      </c>
      <c r="O5" s="58" t="e">
        <f>(#REF!/L5)</f>
        <v>#REF!</v>
      </c>
      <c r="P5" s="59">
        <v>2.4790000000000001</v>
      </c>
      <c r="Q5" s="58">
        <f>ROUND((P5*1000000/(24*3600)),2)</f>
        <v>28.69</v>
      </c>
      <c r="R5" s="59">
        <v>1.897</v>
      </c>
      <c r="S5" s="149">
        <v>0</v>
      </c>
      <c r="T5" s="149">
        <v>0</v>
      </c>
      <c r="U5" s="59">
        <f t="shared" ref="U5:U22" si="1">R5+S5</f>
        <v>1.897</v>
      </c>
      <c r="V5" s="59">
        <v>8.6</v>
      </c>
      <c r="W5" s="152"/>
      <c r="X5" s="131">
        <v>2.7570000000000001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144.03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387.21199999999999</v>
      </c>
      <c r="N6" s="127">
        <f t="shared" si="0"/>
        <v>38.04</v>
      </c>
      <c r="O6" s="57" t="e">
        <f>(#REF!/L6)</f>
        <v>#REF!</v>
      </c>
      <c r="P6" s="60">
        <v>1.9555</v>
      </c>
      <c r="Q6" s="57">
        <f>ROUND((P6*1000000/(24*3600)),2)</f>
        <v>22.63</v>
      </c>
      <c r="R6" s="60">
        <v>0.16719999999999999</v>
      </c>
      <c r="S6" s="147">
        <v>0</v>
      </c>
      <c r="T6" s="147">
        <v>0</v>
      </c>
      <c r="U6" s="60">
        <f t="shared" si="1"/>
        <v>0.16719999999999999</v>
      </c>
      <c r="V6" s="60">
        <v>16.2</v>
      </c>
      <c r="W6" s="148"/>
      <c r="X6" s="131">
        <v>4.1799999999999997E-2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954.67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140.59</v>
      </c>
      <c r="N7" s="126">
        <f t="shared" si="0"/>
        <v>31.49</v>
      </c>
      <c r="O7" s="58" t="e">
        <f>(#REF!/L7)</f>
        <v>#REF!</v>
      </c>
      <c r="P7" s="59">
        <v>1.0512999999999999</v>
      </c>
      <c r="Q7" s="58">
        <f t="shared" ref="Q7:Q22" si="2">ROUND((P7*1000000/(24*3600)),2)</f>
        <v>12.17</v>
      </c>
      <c r="R7" s="59">
        <v>0.9113</v>
      </c>
      <c r="S7" s="149">
        <v>0</v>
      </c>
      <c r="T7" s="149">
        <v>0</v>
      </c>
      <c r="U7" s="59">
        <f t="shared" si="1"/>
        <v>0.9113</v>
      </c>
      <c r="V7" s="59">
        <v>5</v>
      </c>
      <c r="W7" s="151"/>
      <c r="X7" s="131">
        <v>1.4698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763.6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72.75</v>
      </c>
      <c r="N8" s="127">
        <f t="shared" si="0"/>
        <v>36.19</v>
      </c>
      <c r="O8" s="57" t="e">
        <f>(#REF!/L8)</f>
        <v>#REF!</v>
      </c>
      <c r="P8" s="60">
        <v>2.4</v>
      </c>
      <c r="Q8" s="57">
        <f>ROUND((P8*1000000/(24*3600)),2)</f>
        <v>27.78</v>
      </c>
      <c r="R8" s="60"/>
      <c r="S8" s="147">
        <v>0</v>
      </c>
      <c r="T8" s="147">
        <v>0</v>
      </c>
      <c r="U8" s="60">
        <f t="shared" si="1"/>
        <v>0</v>
      </c>
      <c r="V8" s="60">
        <v>24.2</v>
      </c>
      <c r="W8" s="150" t="s">
        <v>134</v>
      </c>
      <c r="X8" s="172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2619.4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56.09</v>
      </c>
      <c r="N9" s="126">
        <f t="shared" si="0"/>
        <v>37.619999999999997</v>
      </c>
      <c r="O9" s="58" t="e">
        <f>(#REF!/L9)</f>
        <v>#REF!</v>
      </c>
      <c r="P9" s="59">
        <v>7.0792999999999999</v>
      </c>
      <c r="Q9" s="58">
        <f t="shared" si="2"/>
        <v>81.94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40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1566.45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0.74</v>
      </c>
      <c r="N10" s="127">
        <f t="shared" si="0"/>
        <v>1.35</v>
      </c>
      <c r="O10" s="57" t="e">
        <f>(#REF!/L10)</f>
        <v>#REF!</v>
      </c>
      <c r="P10" s="60">
        <v>9.4500000000000001E-2</v>
      </c>
      <c r="Q10" s="57">
        <f t="shared" si="2"/>
        <v>1.0900000000000001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0</v>
      </c>
      <c r="W10" s="150" t="s">
        <v>163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1195.93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11.6478</v>
      </c>
      <c r="N11" s="126">
        <f t="shared" si="0"/>
        <v>23.38</v>
      </c>
      <c r="O11" s="58" t="e">
        <f>(#REF!/L11)</f>
        <v>#REF!</v>
      </c>
      <c r="P11" s="59">
        <v>1.7299999999999999E-2</v>
      </c>
      <c r="Q11" s="59">
        <f t="shared" si="2"/>
        <v>0.2</v>
      </c>
      <c r="R11" s="59"/>
      <c r="S11" s="155">
        <v>0</v>
      </c>
      <c r="T11" s="149">
        <v>0</v>
      </c>
      <c r="U11" s="58">
        <f t="shared" si="1"/>
        <v>0</v>
      </c>
      <c r="V11" s="59">
        <v>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692.45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17.841100000000001</v>
      </c>
      <c r="N12" s="127">
        <f t="shared" si="0"/>
        <v>37.64</v>
      </c>
      <c r="O12" s="57" t="e">
        <f>(#REF!/L12)</f>
        <v>#REF!</v>
      </c>
      <c r="P12" s="60">
        <v>7.8899999999999998E-2</v>
      </c>
      <c r="Q12" s="57">
        <f t="shared" si="2"/>
        <v>0.91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3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751.33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18.451000000000001</v>
      </c>
      <c r="N13" s="126">
        <f t="shared" si="0"/>
        <v>54.3</v>
      </c>
      <c r="O13" s="58" t="e">
        <f>(#REF!/L13)</f>
        <v>#REF!</v>
      </c>
      <c r="P13" s="59">
        <v>1.5157</v>
      </c>
      <c r="Q13" s="58">
        <f t="shared" si="2"/>
        <v>17.54</v>
      </c>
      <c r="R13" s="59">
        <v>0.60270000000000001</v>
      </c>
      <c r="S13" s="149">
        <v>0</v>
      </c>
      <c r="T13" s="149">
        <v>0</v>
      </c>
      <c r="U13" s="59">
        <f t="shared" si="1"/>
        <v>0.60270000000000001</v>
      </c>
      <c r="V13" s="59">
        <v>46</v>
      </c>
      <c r="W13" s="152"/>
      <c r="X13" s="131">
        <v>0.99609999999999999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964.05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0.65</v>
      </c>
      <c r="N14" s="127">
        <f t="shared" si="0"/>
        <v>2.09</v>
      </c>
      <c r="O14" s="57" t="e">
        <f>(#REF!/L14)</f>
        <v>#REF!</v>
      </c>
      <c r="P14" s="60">
        <v>0.57899999999999996</v>
      </c>
      <c r="Q14" s="57">
        <f>ROUND((P14*1000000/(24*3600)),2)</f>
        <v>6.7</v>
      </c>
      <c r="R14" s="60"/>
      <c r="S14" s="147">
        <v>0</v>
      </c>
      <c r="T14" s="147">
        <v>0</v>
      </c>
      <c r="U14" s="60">
        <f t="shared" si="1"/>
        <v>0</v>
      </c>
      <c r="V14" s="60">
        <v>4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417.25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13.6</v>
      </c>
      <c r="N15" s="126">
        <f t="shared" si="0"/>
        <v>44.88</v>
      </c>
      <c r="O15" s="58" t="e">
        <f>(#REF!/L15)</f>
        <v>#REF!</v>
      </c>
      <c r="P15" s="59">
        <v>1.3341000000000001</v>
      </c>
      <c r="Q15" s="58">
        <f t="shared" si="2"/>
        <v>15.44</v>
      </c>
      <c r="R15" s="59">
        <v>1.2341</v>
      </c>
      <c r="S15" s="149">
        <v>0</v>
      </c>
      <c r="T15" s="149">
        <f>Y15</f>
        <v>0</v>
      </c>
      <c r="U15" s="59">
        <f t="shared" si="1"/>
        <v>1.2341</v>
      </c>
      <c r="V15" s="59">
        <v>26</v>
      </c>
      <c r="W15" s="151" t="s">
        <v>136</v>
      </c>
      <c r="X15" s="131">
        <v>0.49547999999999998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1748.45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2.0619999999999998</v>
      </c>
      <c r="N16" s="127">
        <f t="shared" si="0"/>
        <v>26.95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453.1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4.2699999999999996</v>
      </c>
      <c r="N17" s="126">
        <f t="shared" si="0"/>
        <v>66.41</v>
      </c>
      <c r="O17" s="58" t="e">
        <f>(#REF!/L17)</f>
        <v>#REF!</v>
      </c>
      <c r="P17" s="59">
        <v>0.80869999999999997</v>
      </c>
      <c r="Q17" s="57">
        <f t="shared" si="2"/>
        <v>9.36</v>
      </c>
      <c r="R17" s="59">
        <v>0.95020000000000004</v>
      </c>
      <c r="S17" s="149">
        <v>0</v>
      </c>
      <c r="T17" s="149">
        <v>0</v>
      </c>
      <c r="U17" s="59">
        <f t="shared" si="1"/>
        <v>0.95020000000000004</v>
      </c>
      <c r="V17" s="59">
        <v>5</v>
      </c>
      <c r="W17" s="150"/>
      <c r="X17" s="131">
        <v>0.44429999999999997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249.1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2.9390000000000001</v>
      </c>
      <c r="N19" s="126">
        <f t="shared" si="0"/>
        <v>64.59</v>
      </c>
      <c r="O19" s="58" t="e">
        <f>(#REF!/L19)</f>
        <v>#REF!</v>
      </c>
      <c r="P19" s="59">
        <v>1.4379999999999999</v>
      </c>
      <c r="Q19" s="57">
        <f t="shared" si="2"/>
        <v>16.64</v>
      </c>
      <c r="R19" s="59">
        <v>1.4770000000000001</v>
      </c>
      <c r="S19" s="149">
        <v>0</v>
      </c>
      <c r="T19" s="149">
        <v>0</v>
      </c>
      <c r="U19" s="59">
        <f t="shared" si="1"/>
        <v>1.4770000000000001</v>
      </c>
      <c r="V19" s="59">
        <v>11</v>
      </c>
      <c r="W19" s="151"/>
      <c r="X19" s="131">
        <v>0.68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186.5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0.41499999999999998</v>
      </c>
      <c r="N20" s="127">
        <f>ROUND((M20/L20)*100,2)</f>
        <v>35.78</v>
      </c>
      <c r="O20" s="57" t="e">
        <f>(#REF!/L20)</f>
        <v>#REF!</v>
      </c>
      <c r="P20" s="60">
        <v>0.73150000000000004</v>
      </c>
      <c r="Q20" s="57">
        <f t="shared" si="2"/>
        <v>8.4700000000000006</v>
      </c>
      <c r="R20" s="60">
        <v>0.79706250000000001</v>
      </c>
      <c r="S20" s="147">
        <v>0</v>
      </c>
      <c r="T20" s="153">
        <v>0</v>
      </c>
      <c r="U20" s="60">
        <f t="shared" si="1"/>
        <v>0.79706250000000001</v>
      </c>
      <c r="V20" s="60">
        <v>11</v>
      </c>
      <c r="W20" s="154"/>
      <c r="X20" s="131">
        <v>0.24525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0.17699999999999999</v>
      </c>
      <c r="N22" s="139">
        <f t="shared" si="0"/>
        <v>45.38</v>
      </c>
      <c r="O22" s="115" t="e">
        <f>(#REF!/L22)</f>
        <v>#REF!</v>
      </c>
      <c r="P22" s="116">
        <v>0.55310000000000004</v>
      </c>
      <c r="Q22" s="57">
        <f t="shared" si="2"/>
        <v>6.4</v>
      </c>
      <c r="R22" s="116">
        <v>0.55308500000000005</v>
      </c>
      <c r="S22" s="153">
        <v>0</v>
      </c>
      <c r="T22" s="153">
        <v>0</v>
      </c>
      <c r="U22" s="116">
        <f t="shared" si="1"/>
        <v>0.55308500000000005</v>
      </c>
      <c r="V22" s="116">
        <v>0.6</v>
      </c>
      <c r="W22" s="156"/>
      <c r="X22" s="131">
        <v>0.4355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1150.79</v>
      </c>
      <c r="N23" s="197">
        <f t="shared" si="0"/>
        <v>32.44</v>
      </c>
      <c r="O23" s="197" t="e">
        <f>(#REF!/L23)</f>
        <v>#REF!</v>
      </c>
      <c r="P23" s="89"/>
      <c r="Q23" s="197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159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I3" sqref="I3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165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2328.16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420.03199999999998</v>
      </c>
      <c r="N5" s="126">
        <f t="shared" ref="N5:N23" si="0">ROUND((M5/L5)*100,2)</f>
        <v>28.78</v>
      </c>
      <c r="O5" s="58" t="e">
        <f>(#REF!/L5)</f>
        <v>#REF!</v>
      </c>
      <c r="P5" s="59">
        <v>2.54</v>
      </c>
      <c r="Q5" s="58">
        <f>ROUND((P5*1000000/(24*3600)),2)</f>
        <v>29.4</v>
      </c>
      <c r="R5" s="59">
        <v>2.8121999999999998</v>
      </c>
      <c r="S5" s="149">
        <v>0</v>
      </c>
      <c r="T5" s="149">
        <v>0</v>
      </c>
      <c r="U5" s="59">
        <f t="shared" ref="U5:U22" si="1">R5+S5</f>
        <v>2.8121999999999998</v>
      </c>
      <c r="V5" s="59">
        <v>15.2</v>
      </c>
      <c r="W5" s="152"/>
      <c r="X5" s="131">
        <v>4.0869999999999997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144.16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389.86399999999998</v>
      </c>
      <c r="N6" s="127">
        <f t="shared" si="0"/>
        <v>38.299999999999997</v>
      </c>
      <c r="O6" s="57" t="e">
        <f>(#REF!/L6)</f>
        <v>#REF!</v>
      </c>
      <c r="P6" s="60">
        <v>2.6593</v>
      </c>
      <c r="Q6" s="57">
        <f>ROUND((P6*1000000/(24*3600)),2)</f>
        <v>30.78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17.2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954.66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140.52000000000001</v>
      </c>
      <c r="N7" s="126">
        <f t="shared" si="0"/>
        <v>31.47</v>
      </c>
      <c r="O7" s="58" t="e">
        <f>(#REF!/L7)</f>
        <v>#REF!</v>
      </c>
      <c r="P7" s="59">
        <v>0.95669999999999999</v>
      </c>
      <c r="Q7" s="58">
        <f t="shared" ref="Q7:Q22" si="2">ROUND((P7*1000000/(24*3600)),2)</f>
        <v>11.07</v>
      </c>
      <c r="R7" s="59">
        <v>1.0266999999999999</v>
      </c>
      <c r="S7" s="149">
        <v>0</v>
      </c>
      <c r="T7" s="149">
        <v>0</v>
      </c>
      <c r="U7" s="59">
        <f t="shared" si="1"/>
        <v>1.0266999999999999</v>
      </c>
      <c r="V7" s="59">
        <v>20</v>
      </c>
      <c r="W7" s="151"/>
      <c r="X7" s="131">
        <v>1.6559999999999999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763.85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75.349999999999994</v>
      </c>
      <c r="N8" s="127">
        <f t="shared" si="0"/>
        <v>37.49</v>
      </c>
      <c r="O8" s="57" t="e">
        <f>(#REF!/L8)</f>
        <v>#REF!</v>
      </c>
      <c r="P8" s="60">
        <v>2.6</v>
      </c>
      <c r="Q8" s="57">
        <f>ROUND((P8*1000000/(24*3600)),2)</f>
        <v>30.09</v>
      </c>
      <c r="R8" s="60"/>
      <c r="S8" s="147">
        <v>0</v>
      </c>
      <c r="T8" s="147">
        <v>0</v>
      </c>
      <c r="U8" s="60">
        <f t="shared" si="1"/>
        <v>0</v>
      </c>
      <c r="V8" s="60">
        <v>19.5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2620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57</v>
      </c>
      <c r="N9" s="126">
        <f t="shared" si="0"/>
        <v>38.229999999999997</v>
      </c>
      <c r="O9" s="58" t="e">
        <f>(#REF!/L9)</f>
        <v>#REF!</v>
      </c>
      <c r="P9" s="59">
        <v>0.91749999999999998</v>
      </c>
      <c r="Q9" s="58">
        <f t="shared" si="2"/>
        <v>10.62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26.2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1566.2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0.49</v>
      </c>
      <c r="N10" s="127">
        <f t="shared" si="0"/>
        <v>0.89</v>
      </c>
      <c r="O10" s="57" t="e">
        <f>(#REF!/L10)</f>
        <v>#REF!</v>
      </c>
      <c r="P10" s="60">
        <v>0</v>
      </c>
      <c r="Q10" s="57">
        <f t="shared" si="2"/>
        <v>0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7</v>
      </c>
      <c r="W10" s="150" t="s">
        <v>163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1195.95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11.682499999999999</v>
      </c>
      <c r="N11" s="126">
        <f t="shared" si="0"/>
        <v>23.44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1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17.920100000000001</v>
      </c>
      <c r="N12" s="127">
        <f t="shared" si="0"/>
        <v>37.81</v>
      </c>
      <c r="O12" s="57" t="e">
        <f>(#REF!/L12)</f>
        <v>#REF!</v>
      </c>
      <c r="P12" s="60">
        <v>7.9000000000000001E-2</v>
      </c>
      <c r="Q12" s="57">
        <f t="shared" si="2"/>
        <v>0.91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16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751.51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18.817</v>
      </c>
      <c r="N13" s="126">
        <f t="shared" si="0"/>
        <v>55.38</v>
      </c>
      <c r="O13" s="58" t="e">
        <f>(#REF!/L13)</f>
        <v>#REF!</v>
      </c>
      <c r="P13" s="59">
        <v>1.2000999999999999</v>
      </c>
      <c r="Q13" s="58">
        <f t="shared" si="2"/>
        <v>13.89</v>
      </c>
      <c r="R13" s="59">
        <v>0.83409999999999995</v>
      </c>
      <c r="S13" s="149">
        <v>0</v>
      </c>
      <c r="T13" s="149">
        <v>0</v>
      </c>
      <c r="U13" s="59">
        <f t="shared" si="1"/>
        <v>0.83409999999999995</v>
      </c>
      <c r="V13" s="59">
        <v>55</v>
      </c>
      <c r="W13" s="152"/>
      <c r="X13" s="131">
        <v>1.1782999999999999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964.1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0.69</v>
      </c>
      <c r="N14" s="127">
        <f t="shared" si="0"/>
        <v>2.2200000000000002</v>
      </c>
      <c r="O14" s="57" t="e">
        <f>(#REF!/L14)</f>
        <v>#REF!</v>
      </c>
      <c r="P14" s="60">
        <v>0.55900000000000005</v>
      </c>
      <c r="Q14" s="57">
        <f>ROUND((P14*1000000/(24*3600)),2)</f>
        <v>6.47</v>
      </c>
      <c r="R14" s="60"/>
      <c r="S14" s="147">
        <v>0</v>
      </c>
      <c r="T14" s="147">
        <v>0</v>
      </c>
      <c r="U14" s="60">
        <f t="shared" si="1"/>
        <v>0</v>
      </c>
      <c r="V14" s="60">
        <v>31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417.05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13.2</v>
      </c>
      <c r="N15" s="126">
        <f t="shared" si="0"/>
        <v>43.56</v>
      </c>
      <c r="O15" s="58" t="e">
        <f>(#REF!/L15)</f>
        <v>#REF!</v>
      </c>
      <c r="P15" s="59">
        <v>2.1364999999999998</v>
      </c>
      <c r="Q15" s="58">
        <f t="shared" si="2"/>
        <v>24.73</v>
      </c>
      <c r="R15" s="59">
        <v>2.5365000000000002</v>
      </c>
      <c r="S15" s="149">
        <v>0</v>
      </c>
      <c r="T15" s="149">
        <f>Y15</f>
        <v>0</v>
      </c>
      <c r="U15" s="59">
        <f t="shared" si="1"/>
        <v>2.5365000000000002</v>
      </c>
      <c r="V15" s="59">
        <v>33</v>
      </c>
      <c r="W15" s="151" t="s">
        <v>136</v>
      </c>
      <c r="X15" s="131">
        <v>1.01936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2.08</v>
      </c>
      <c r="N16" s="127">
        <f t="shared" si="0"/>
        <v>27.19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0.2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452.65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4.04</v>
      </c>
      <c r="N17" s="126">
        <f t="shared" si="0"/>
        <v>62.83</v>
      </c>
      <c r="O17" s="58" t="e">
        <f>(#REF!/L17)</f>
        <v>#REF!</v>
      </c>
      <c r="P17" s="59">
        <v>0.87080000000000002</v>
      </c>
      <c r="Q17" s="57">
        <f t="shared" si="2"/>
        <v>10.08</v>
      </c>
      <c r="R17" s="59">
        <v>1.1004290000000001</v>
      </c>
      <c r="S17" s="149">
        <v>0</v>
      </c>
      <c r="T17" s="149">
        <v>0</v>
      </c>
      <c r="U17" s="59">
        <f t="shared" si="1"/>
        <v>1.1004290000000001</v>
      </c>
      <c r="V17" s="59">
        <v>16</v>
      </c>
      <c r="W17" s="150"/>
      <c r="X17" s="131">
        <v>0.51580000000000004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248.5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2.7050000000000001</v>
      </c>
      <c r="N19" s="126">
        <f t="shared" si="0"/>
        <v>59.45</v>
      </c>
      <c r="O19" s="58" t="e">
        <f>(#REF!/L19)</f>
        <v>#REF!</v>
      </c>
      <c r="P19" s="59">
        <v>1.5840000000000001</v>
      </c>
      <c r="Q19" s="57">
        <f t="shared" si="2"/>
        <v>18.329999999999998</v>
      </c>
      <c r="R19" s="59">
        <v>1.8180000000000001</v>
      </c>
      <c r="S19" s="149">
        <v>0</v>
      </c>
      <c r="T19" s="149">
        <v>0</v>
      </c>
      <c r="U19" s="59">
        <f t="shared" si="1"/>
        <v>1.8180000000000001</v>
      </c>
      <c r="V19" s="59">
        <v>20</v>
      </c>
      <c r="W19" s="151"/>
      <c r="X19" s="131">
        <v>0.83699999999999997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185.2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0.29499999999999998</v>
      </c>
      <c r="N20" s="127">
        <f>ROUND((M20/L20)*100,2)</f>
        <v>25.43</v>
      </c>
      <c r="O20" s="57" t="e">
        <f>(#REF!/L20)</f>
        <v>#REF!</v>
      </c>
      <c r="P20" s="60">
        <v>0.94589999999999996</v>
      </c>
      <c r="Q20" s="57">
        <f t="shared" si="2"/>
        <v>10.95</v>
      </c>
      <c r="R20" s="60">
        <v>0.82033250000000002</v>
      </c>
      <c r="S20" s="147">
        <v>0</v>
      </c>
      <c r="T20" s="153">
        <v>0</v>
      </c>
      <c r="U20" s="60">
        <f t="shared" si="1"/>
        <v>0.82033250000000002</v>
      </c>
      <c r="V20" s="60">
        <v>14</v>
      </c>
      <c r="W20" s="154"/>
      <c r="X20" s="131">
        <v>0.25241000000000002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846.95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0.22500000000000001</v>
      </c>
      <c r="N22" s="139">
        <f t="shared" si="0"/>
        <v>57.69</v>
      </c>
      <c r="O22" s="115" t="e">
        <f>(#REF!/L22)</f>
        <v>#REF!</v>
      </c>
      <c r="P22" s="116">
        <v>0.58879999999999999</v>
      </c>
      <c r="Q22" s="57">
        <f t="shared" si="2"/>
        <v>6.81</v>
      </c>
      <c r="R22" s="116">
        <v>0.54152800000000001</v>
      </c>
      <c r="S22" s="153">
        <v>0</v>
      </c>
      <c r="T22" s="153">
        <v>0</v>
      </c>
      <c r="U22" s="116">
        <f t="shared" si="1"/>
        <v>0.54152800000000001</v>
      </c>
      <c r="V22" s="116">
        <v>3.3</v>
      </c>
      <c r="W22" s="156"/>
      <c r="X22" s="131">
        <v>0.4264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1155.81</v>
      </c>
      <c r="N23" s="198">
        <f t="shared" si="0"/>
        <v>32.58</v>
      </c>
      <c r="O23" s="198" t="e">
        <f>(#REF!/L23)</f>
        <v>#REF!</v>
      </c>
      <c r="P23" s="89"/>
      <c r="Q23" s="198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159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I7" sqref="I7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166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2328.62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424.94299999999998</v>
      </c>
      <c r="N5" s="126">
        <f t="shared" ref="N5:N23" si="0">ROUND((M5/L5)*100,2)</f>
        <v>29.12</v>
      </c>
      <c r="O5" s="58" t="e">
        <f>(#REF!/L5)</f>
        <v>#REF!</v>
      </c>
      <c r="P5" s="59">
        <v>6.5890000000000004</v>
      </c>
      <c r="Q5" s="58">
        <f>ROUND((P5*1000000/(24*3600)),2)</f>
        <v>76.260000000000005</v>
      </c>
      <c r="R5" s="59">
        <v>1.5230999999999999</v>
      </c>
      <c r="S5" s="149">
        <v>0</v>
      </c>
      <c r="T5" s="149">
        <v>0</v>
      </c>
      <c r="U5" s="59">
        <f t="shared" ref="U5:U22" si="1">R5+S5</f>
        <v>1.5230999999999999</v>
      </c>
      <c r="V5" s="59">
        <v>88.6</v>
      </c>
      <c r="W5" s="152"/>
      <c r="X5" s="131">
        <v>2.214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144.44999999999999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395.78</v>
      </c>
      <c r="N6" s="127">
        <f t="shared" si="0"/>
        <v>38.89</v>
      </c>
      <c r="O6" s="57" t="e">
        <f>(#REF!/L6)</f>
        <v>#REF!</v>
      </c>
      <c r="P6" s="60">
        <v>5.9355000000000002</v>
      </c>
      <c r="Q6" s="57">
        <f>ROUND((P6*1000000/(24*3600)),2)</f>
        <v>68.7</v>
      </c>
      <c r="R6" s="60">
        <v>0</v>
      </c>
      <c r="S6" s="147">
        <v>0</v>
      </c>
      <c r="T6" s="147">
        <v>0</v>
      </c>
      <c r="U6" s="60">
        <f t="shared" si="1"/>
        <v>0</v>
      </c>
      <c r="V6" s="60">
        <v>45</v>
      </c>
      <c r="W6" s="148"/>
      <c r="X6" s="131">
        <v>0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954.99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142.83000000000001</v>
      </c>
      <c r="N7" s="126">
        <f t="shared" si="0"/>
        <v>31.99</v>
      </c>
      <c r="O7" s="58" t="e">
        <f>(#REF!/L7)</f>
        <v>#REF!</v>
      </c>
      <c r="P7" s="59">
        <v>3.2671999999999999</v>
      </c>
      <c r="Q7" s="58">
        <f t="shared" ref="Q7:Q22" si="2">ROUND((P7*1000000/(24*3600)),2)</f>
        <v>37.81</v>
      </c>
      <c r="R7" s="59">
        <v>0.95720000000000005</v>
      </c>
      <c r="S7" s="149">
        <v>0</v>
      </c>
      <c r="T7" s="149">
        <v>0</v>
      </c>
      <c r="U7" s="59">
        <f t="shared" si="1"/>
        <v>0.95720000000000005</v>
      </c>
      <c r="V7" s="59">
        <v>176</v>
      </c>
      <c r="W7" s="151"/>
      <c r="X7" s="131">
        <v>1.5439000000000001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764.25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78.150000000000006</v>
      </c>
      <c r="N8" s="127">
        <f t="shared" si="0"/>
        <v>38.880000000000003</v>
      </c>
      <c r="O8" s="57" t="e">
        <f>(#REF!/L8)</f>
        <v>#REF!</v>
      </c>
      <c r="P8" s="60">
        <v>2.8</v>
      </c>
      <c r="Q8" s="57">
        <f>ROUND((P8*1000000/(24*3600)),2)</f>
        <v>32.409999999999997</v>
      </c>
      <c r="R8" s="60"/>
      <c r="S8" s="147">
        <v>0</v>
      </c>
      <c r="T8" s="147">
        <v>0</v>
      </c>
      <c r="U8" s="60">
        <f t="shared" si="1"/>
        <v>0</v>
      </c>
      <c r="V8" s="60">
        <v>55.6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2620.5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57.78</v>
      </c>
      <c r="N9" s="126">
        <f t="shared" si="0"/>
        <v>38.76</v>
      </c>
      <c r="O9" s="58" t="e">
        <f>(#REF!/L9)</f>
        <v>#REF!</v>
      </c>
      <c r="P9" s="59">
        <v>0.77869999999999995</v>
      </c>
      <c r="Q9" s="58">
        <f t="shared" si="2"/>
        <v>9.01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50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1566.05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0.34</v>
      </c>
      <c r="N10" s="127">
        <f t="shared" si="0"/>
        <v>0.62</v>
      </c>
      <c r="O10" s="57" t="e">
        <f>(#REF!/L10)</f>
        <v>#REF!</v>
      </c>
      <c r="P10" s="60">
        <v>9.4500000000000001E-2</v>
      </c>
      <c r="Q10" s="57">
        <f t="shared" si="2"/>
        <v>1.0900000000000001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23</v>
      </c>
      <c r="W10" s="150" t="s">
        <v>163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1195.97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11.7172</v>
      </c>
      <c r="N11" s="126">
        <f t="shared" si="0"/>
        <v>23.51</v>
      </c>
      <c r="O11" s="58" t="e">
        <f>(#REF!/L11)</f>
        <v>#REF!</v>
      </c>
      <c r="P11" s="59">
        <v>3.4700000000000002E-2</v>
      </c>
      <c r="Q11" s="59">
        <f t="shared" si="2"/>
        <v>0.4</v>
      </c>
      <c r="R11" s="59"/>
      <c r="S11" s="155">
        <v>0</v>
      </c>
      <c r="T11" s="149">
        <v>0</v>
      </c>
      <c r="U11" s="58">
        <f t="shared" si="1"/>
        <v>0</v>
      </c>
      <c r="V11" s="59">
        <v>20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692.8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18.393799999999999</v>
      </c>
      <c r="N12" s="127">
        <f t="shared" si="0"/>
        <v>38.81</v>
      </c>
      <c r="O12" s="57" t="e">
        <f>(#REF!/L12)</f>
        <v>#REF!</v>
      </c>
      <c r="P12" s="60">
        <v>0.47370000000000001</v>
      </c>
      <c r="Q12" s="57">
        <f t="shared" si="2"/>
        <v>5.48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42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751.88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19.548999999999999</v>
      </c>
      <c r="N13" s="126">
        <f t="shared" si="0"/>
        <v>57.53</v>
      </c>
      <c r="O13" s="58" t="e">
        <f>(#REF!/L13)</f>
        <v>#REF!</v>
      </c>
      <c r="P13" s="59">
        <v>2.6648000000000001</v>
      </c>
      <c r="Q13" s="58">
        <f t="shared" si="2"/>
        <v>30.84</v>
      </c>
      <c r="R13" s="59">
        <v>1.9328000000000001</v>
      </c>
      <c r="S13" s="149">
        <v>0</v>
      </c>
      <c r="T13" s="149">
        <v>0</v>
      </c>
      <c r="U13" s="59">
        <f t="shared" si="1"/>
        <v>1.9328000000000001</v>
      </c>
      <c r="V13" s="59">
        <v>125</v>
      </c>
      <c r="W13" s="152"/>
      <c r="X13" s="131">
        <v>2.7351000000000001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964.7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1.17</v>
      </c>
      <c r="N14" s="127">
        <f t="shared" si="0"/>
        <v>3.76</v>
      </c>
      <c r="O14" s="57" t="e">
        <f>(#REF!/L14)</f>
        <v>#REF!</v>
      </c>
      <c r="P14" s="60">
        <v>1.458</v>
      </c>
      <c r="Q14" s="57">
        <f>ROUND((P14*1000000/(24*3600)),2)</f>
        <v>16.88</v>
      </c>
      <c r="R14" s="60"/>
      <c r="S14" s="147">
        <v>0</v>
      </c>
      <c r="T14" s="147">
        <v>0</v>
      </c>
      <c r="U14" s="60">
        <f t="shared" si="1"/>
        <v>0</v>
      </c>
      <c r="V14" s="60">
        <v>92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22" t="s">
        <v>27</v>
      </c>
      <c r="C15" s="58" t="s">
        <v>19</v>
      </c>
      <c r="D15" s="58">
        <v>423.98</v>
      </c>
      <c r="E15" s="58"/>
      <c r="F15" s="126">
        <v>417.8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14.7</v>
      </c>
      <c r="N15" s="126">
        <f t="shared" si="0"/>
        <v>48.51</v>
      </c>
      <c r="O15" s="58" t="e">
        <f>(#REF!/L15)</f>
        <v>#REF!</v>
      </c>
      <c r="P15" s="59">
        <v>3.9937999999999998</v>
      </c>
      <c r="Q15" s="58">
        <f t="shared" si="2"/>
        <v>46.22</v>
      </c>
      <c r="R15" s="59">
        <v>2.4937999999999998</v>
      </c>
      <c r="S15" s="149">
        <v>0</v>
      </c>
      <c r="T15" s="149">
        <f>Y15</f>
        <v>0</v>
      </c>
      <c r="U15" s="59">
        <f t="shared" si="1"/>
        <v>2.4937999999999998</v>
      </c>
      <c r="V15" s="59">
        <v>75.2</v>
      </c>
      <c r="W15" s="151" t="s">
        <v>136</v>
      </c>
      <c r="X15" s="131">
        <v>0.99844999999999995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1748.55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2.1</v>
      </c>
      <c r="N16" s="127">
        <f t="shared" si="0"/>
        <v>27.45</v>
      </c>
      <c r="O16" s="57" t="e">
        <f>(#REF!/L16)</f>
        <v>#REF!</v>
      </c>
      <c r="P16" s="60">
        <v>1.7999999999999999E-2</v>
      </c>
      <c r="Q16" s="57">
        <f t="shared" si="2"/>
        <v>0.21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3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452.75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4.0910000000000002</v>
      </c>
      <c r="N17" s="126">
        <f t="shared" si="0"/>
        <v>63.62</v>
      </c>
      <c r="O17" s="58" t="e">
        <f>(#REF!/L17)</f>
        <v>#REF!</v>
      </c>
      <c r="P17" s="59">
        <v>1.3447</v>
      </c>
      <c r="Q17" s="57">
        <f t="shared" si="2"/>
        <v>15.56</v>
      </c>
      <c r="R17" s="59">
        <v>1.2937000000000001</v>
      </c>
      <c r="S17" s="149">
        <v>0</v>
      </c>
      <c r="T17" s="149">
        <v>0</v>
      </c>
      <c r="U17" s="59">
        <f t="shared" si="1"/>
        <v>1.2937000000000001</v>
      </c>
      <c r="V17" s="59">
        <v>25</v>
      </c>
      <c r="W17" s="150"/>
      <c r="X17" s="131">
        <v>0.6069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248.2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2.5880000000000001</v>
      </c>
      <c r="N19" s="126">
        <f t="shared" si="0"/>
        <v>56.88</v>
      </c>
      <c r="O19" s="58" t="e">
        <f>(#REF!/L19)</f>
        <v>#REF!</v>
      </c>
      <c r="P19" s="59">
        <v>2.0007000000000001</v>
      </c>
      <c r="Q19" s="57">
        <f t="shared" si="2"/>
        <v>23.16</v>
      </c>
      <c r="R19" s="59">
        <v>2.1177000000000001</v>
      </c>
      <c r="S19" s="149">
        <v>0</v>
      </c>
      <c r="T19" s="149">
        <v>0</v>
      </c>
      <c r="U19" s="59">
        <f t="shared" si="1"/>
        <v>2.1177000000000001</v>
      </c>
      <c r="V19" s="59">
        <v>43</v>
      </c>
      <c r="W19" s="151"/>
      <c r="X19" s="131">
        <v>0.97499999999999998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188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0.56899999999999995</v>
      </c>
      <c r="N20" s="127">
        <f>ROUND((M20/L20)*100,2)</f>
        <v>49.05</v>
      </c>
      <c r="O20" s="57" t="e">
        <f>(#REF!/L20)</f>
        <v>#REF!</v>
      </c>
      <c r="P20" s="60">
        <v>1.1027</v>
      </c>
      <c r="Q20" s="57">
        <f t="shared" si="2"/>
        <v>12.76</v>
      </c>
      <c r="R20" s="60">
        <v>1.0458000000000001</v>
      </c>
      <c r="S20" s="147">
        <v>0</v>
      </c>
      <c r="T20" s="153">
        <v>0</v>
      </c>
      <c r="U20" s="60">
        <f t="shared" si="1"/>
        <v>1.0458000000000001</v>
      </c>
      <c r="V20" s="60">
        <v>71</v>
      </c>
      <c r="W20" s="154"/>
      <c r="X20" s="131">
        <v>0.32179000000000002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846.7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0.16500000000000001</v>
      </c>
      <c r="N22" s="139">
        <f t="shared" si="0"/>
        <v>42.31</v>
      </c>
      <c r="O22" s="115" t="e">
        <f>(#REF!/L22)</f>
        <v>#REF!</v>
      </c>
      <c r="P22" s="116">
        <v>0.60109999999999997</v>
      </c>
      <c r="Q22" s="57">
        <f t="shared" si="2"/>
        <v>6.96</v>
      </c>
      <c r="R22" s="116">
        <v>0.66014600000000001</v>
      </c>
      <c r="S22" s="153">
        <v>0</v>
      </c>
      <c r="T22" s="153">
        <v>0</v>
      </c>
      <c r="U22" s="116">
        <f t="shared" si="1"/>
        <v>0.66014600000000001</v>
      </c>
      <c r="V22" s="116">
        <v>8.3000000000000007</v>
      </c>
      <c r="W22" s="156"/>
      <c r="X22" s="131">
        <v>0.51980000000000004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1175.77</v>
      </c>
      <c r="N23" s="199">
        <f t="shared" si="0"/>
        <v>33.14</v>
      </c>
      <c r="O23" s="199" t="e">
        <f>(#REF!/L23)</f>
        <v>#REF!</v>
      </c>
      <c r="P23" s="89"/>
      <c r="Q23" s="199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159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N4" sqref="N4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167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2329.56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434.97800000000001</v>
      </c>
      <c r="N5" s="126">
        <f t="shared" ref="N5:N23" si="0">ROUND((M5/L5)*100,2)</f>
        <v>29.8</v>
      </c>
      <c r="O5" s="58" t="e">
        <f>(#REF!/L5)</f>
        <v>#REF!</v>
      </c>
      <c r="P5" s="59">
        <v>12.444000000000001</v>
      </c>
      <c r="Q5" s="58">
        <f>ROUND((P5*1000000/(24*3600)),2)</f>
        <v>144.03</v>
      </c>
      <c r="R5" s="59">
        <v>2.2541000000000002</v>
      </c>
      <c r="S5" s="149">
        <v>0</v>
      </c>
      <c r="T5" s="149">
        <v>0</v>
      </c>
      <c r="U5" s="59">
        <f t="shared" ref="U5:U22" si="1">R5+S5</f>
        <v>2.2541000000000002</v>
      </c>
      <c r="V5" s="59">
        <v>34.200000000000003</v>
      </c>
      <c r="W5" s="152"/>
      <c r="X5" s="131">
        <v>3.278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144.86000000000001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404.14400000000001</v>
      </c>
      <c r="N6" s="127">
        <f t="shared" si="0"/>
        <v>39.71</v>
      </c>
      <c r="O6" s="57" t="e">
        <f>(#REF!/L6)</f>
        <v>#REF!</v>
      </c>
      <c r="P6" s="60">
        <v>8.8719000000000001</v>
      </c>
      <c r="Q6" s="57">
        <f>ROUND((P6*1000000/(24*3600)),2)</f>
        <v>102.68</v>
      </c>
      <c r="R6" s="60">
        <v>0.50790000000000002</v>
      </c>
      <c r="S6" s="147">
        <v>0</v>
      </c>
      <c r="T6" s="147">
        <v>0</v>
      </c>
      <c r="U6" s="60">
        <f t="shared" si="1"/>
        <v>0.50790000000000002</v>
      </c>
      <c r="V6" s="60">
        <v>19.8</v>
      </c>
      <c r="W6" s="148"/>
      <c r="X6" s="131">
        <v>0.128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955.61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147.43</v>
      </c>
      <c r="N7" s="126">
        <f t="shared" si="0"/>
        <v>33.020000000000003</v>
      </c>
      <c r="O7" s="58" t="e">
        <f>(#REF!/L7)</f>
        <v>#REF!</v>
      </c>
      <c r="P7" s="59">
        <v>5.5084999999999997</v>
      </c>
      <c r="Q7" s="58">
        <f t="shared" ref="Q7:Q22" si="2">ROUND((P7*1000000/(24*3600)),2)</f>
        <v>63.76</v>
      </c>
      <c r="R7" s="59">
        <v>0.90849999999999997</v>
      </c>
      <c r="S7" s="149">
        <v>0</v>
      </c>
      <c r="T7" s="149">
        <v>0</v>
      </c>
      <c r="U7" s="59">
        <f t="shared" si="1"/>
        <v>0.90849999999999997</v>
      </c>
      <c r="V7" s="59">
        <v>94</v>
      </c>
      <c r="W7" s="151"/>
      <c r="X7" s="131">
        <v>1.4654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764.95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84.35</v>
      </c>
      <c r="N8" s="127">
        <f t="shared" si="0"/>
        <v>41.97</v>
      </c>
      <c r="O8" s="57" t="e">
        <f>(#REF!/L8)</f>
        <v>#REF!</v>
      </c>
      <c r="P8" s="60">
        <v>6.2</v>
      </c>
      <c r="Q8" s="57">
        <f>ROUND((P8*1000000/(24*3600)),2)</f>
        <v>71.760000000000005</v>
      </c>
      <c r="R8" s="60"/>
      <c r="S8" s="147">
        <v>0</v>
      </c>
      <c r="T8" s="147">
        <v>0</v>
      </c>
      <c r="U8" s="60">
        <f t="shared" si="1"/>
        <v>0</v>
      </c>
      <c r="V8" s="60">
        <v>39.6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2621.1999999999998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58.88</v>
      </c>
      <c r="N9" s="126">
        <f t="shared" si="0"/>
        <v>39.49</v>
      </c>
      <c r="O9" s="58" t="e">
        <f>(#REF!/L9)</f>
        <v>#REF!</v>
      </c>
      <c r="P9" s="59">
        <v>1.1014999999999999</v>
      </c>
      <c r="Q9" s="58">
        <f t="shared" si="2"/>
        <v>12.75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45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1566.35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0.64</v>
      </c>
      <c r="N10" s="127">
        <f t="shared" si="0"/>
        <v>1.17</v>
      </c>
      <c r="O10" s="57" t="e">
        <f>(#REF!/L10)</f>
        <v>#REF!</v>
      </c>
      <c r="P10" s="60">
        <v>0.30309999999999998</v>
      </c>
      <c r="Q10" s="57">
        <f t="shared" si="2"/>
        <v>3.51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36.799999999999997</v>
      </c>
      <c r="W10" s="150" t="s">
        <v>168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1196.01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11.7866</v>
      </c>
      <c r="N11" s="126">
        <f t="shared" si="0"/>
        <v>23.65</v>
      </c>
      <c r="O11" s="58" t="e">
        <f>(#REF!/L11)</f>
        <v>#REF!</v>
      </c>
      <c r="P11" s="59">
        <v>6.9400000000000003E-2</v>
      </c>
      <c r="Q11" s="59">
        <f t="shared" si="2"/>
        <v>0.8</v>
      </c>
      <c r="R11" s="59"/>
      <c r="S11" s="155">
        <v>0</v>
      </c>
      <c r="T11" s="149">
        <v>0</v>
      </c>
      <c r="U11" s="58">
        <f t="shared" si="1"/>
        <v>0</v>
      </c>
      <c r="V11" s="59">
        <v>20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693.45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19.422899999999998</v>
      </c>
      <c r="N12" s="127">
        <f t="shared" si="0"/>
        <v>40.98</v>
      </c>
      <c r="O12" s="57" t="e">
        <f>(#REF!/L12)</f>
        <v>#REF!</v>
      </c>
      <c r="P12" s="60">
        <v>1.0290999999999999</v>
      </c>
      <c r="Q12" s="57">
        <f t="shared" si="2"/>
        <v>11.91</v>
      </c>
      <c r="R12" s="60">
        <v>0</v>
      </c>
      <c r="S12" s="147">
        <v>0</v>
      </c>
      <c r="T12" s="147">
        <v>0</v>
      </c>
      <c r="U12" s="60">
        <f>R12+S12</f>
        <v>0</v>
      </c>
      <c r="V12" s="60">
        <v>43</v>
      </c>
      <c r="W12" s="150"/>
      <c r="X12" s="131">
        <v>0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752.61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21.013000000000002</v>
      </c>
      <c r="N13" s="126">
        <f t="shared" si="0"/>
        <v>61.84</v>
      </c>
      <c r="O13" s="58" t="e">
        <f>(#REF!/L13)</f>
        <v>#REF!</v>
      </c>
      <c r="P13" s="59">
        <v>4.2766000000000002</v>
      </c>
      <c r="Q13" s="58">
        <f t="shared" si="2"/>
        <v>49.5</v>
      </c>
      <c r="R13" s="59">
        <v>2.8126000000000002</v>
      </c>
      <c r="S13" s="149">
        <v>0</v>
      </c>
      <c r="T13" s="149">
        <v>0</v>
      </c>
      <c r="U13" s="59">
        <f t="shared" si="1"/>
        <v>2.8126000000000002</v>
      </c>
      <c r="V13" s="59">
        <v>106</v>
      </c>
      <c r="W13" s="152"/>
      <c r="X13" s="131">
        <v>3.9769999999999999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964.6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1.89</v>
      </c>
      <c r="N14" s="127">
        <f t="shared" si="0"/>
        <v>6.07</v>
      </c>
      <c r="O14" s="57" t="e">
        <f>(#REF!/L14)</f>
        <v>#REF!</v>
      </c>
      <c r="P14" s="60">
        <v>2.589</v>
      </c>
      <c r="Q14" s="57">
        <f>ROUND((P14*1000000/(24*3600)),2)</f>
        <v>29.97</v>
      </c>
      <c r="R14" s="60"/>
      <c r="S14" s="147">
        <v>0</v>
      </c>
      <c r="T14" s="147">
        <v>0</v>
      </c>
      <c r="U14" s="60">
        <f t="shared" si="1"/>
        <v>0</v>
      </c>
      <c r="V14" s="60">
        <v>43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84" t="s">
        <v>27</v>
      </c>
      <c r="C15" s="58" t="s">
        <v>19</v>
      </c>
      <c r="D15" s="58">
        <v>423.98</v>
      </c>
      <c r="E15" s="58"/>
      <c r="F15" s="126">
        <v>419.65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18.87</v>
      </c>
      <c r="N15" s="126">
        <f t="shared" si="0"/>
        <v>62.28</v>
      </c>
      <c r="O15" s="58" t="e">
        <f>(#REF!/L15)</f>
        <v>#REF!</v>
      </c>
      <c r="P15" s="59">
        <v>9.0578000000000003</v>
      </c>
      <c r="Q15" s="58">
        <f t="shared" si="2"/>
        <v>104.84</v>
      </c>
      <c r="R15" s="59">
        <v>4.6847000000000003</v>
      </c>
      <c r="S15" s="149">
        <v>0.1981</v>
      </c>
      <c r="T15" s="149">
        <v>6.3E-2</v>
      </c>
      <c r="U15" s="59">
        <f t="shared" si="1"/>
        <v>4.8828000000000005</v>
      </c>
      <c r="V15" s="59">
        <v>36.200000000000003</v>
      </c>
      <c r="W15" s="151" t="s">
        <v>169</v>
      </c>
      <c r="X15" s="131">
        <v>1.84023</v>
      </c>
      <c r="Y15" s="131">
        <f>ROUND((0*1000000/(1*3600)),2)</f>
        <v>0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1748.65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2.14</v>
      </c>
      <c r="N16" s="127">
        <f t="shared" si="0"/>
        <v>27.97</v>
      </c>
      <c r="O16" s="57" t="e">
        <f>(#REF!/L16)</f>
        <v>#REF!</v>
      </c>
      <c r="P16" s="60">
        <v>0.04</v>
      </c>
      <c r="Q16" s="57">
        <f t="shared" si="2"/>
        <v>0.46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7.6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452.75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4.0910000000000002</v>
      </c>
      <c r="N17" s="126">
        <f t="shared" si="0"/>
        <v>63.62</v>
      </c>
      <c r="O17" s="58" t="e">
        <f>(#REF!/L17)</f>
        <v>#REF!</v>
      </c>
      <c r="P17" s="59">
        <v>3.25</v>
      </c>
      <c r="Q17" s="57">
        <f t="shared" si="2"/>
        <v>37.619999999999997</v>
      </c>
      <c r="R17" s="59">
        <v>3.25</v>
      </c>
      <c r="S17" s="149">
        <v>0</v>
      </c>
      <c r="T17" s="149">
        <v>0</v>
      </c>
      <c r="U17" s="59">
        <f t="shared" si="1"/>
        <v>3.25</v>
      </c>
      <c r="V17" s="59">
        <v>62</v>
      </c>
      <c r="W17" s="150"/>
      <c r="X17" s="131">
        <v>1.5234000000000001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0.71289999999999998</v>
      </c>
      <c r="N18" s="127">
        <f t="shared" si="0"/>
        <v>13.47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18.75">
      <c r="A19" s="58">
        <v>15</v>
      </c>
      <c r="B19" s="137" t="s">
        <v>32</v>
      </c>
      <c r="C19" s="58" t="s">
        <v>11</v>
      </c>
      <c r="D19" s="58">
        <v>253</v>
      </c>
      <c r="E19" s="58"/>
      <c r="F19" s="126">
        <v>251.2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3.7839999999999998</v>
      </c>
      <c r="N19" s="126">
        <f t="shared" si="0"/>
        <v>83.16</v>
      </c>
      <c r="O19" s="58" t="e">
        <f>(#REF!/L19)</f>
        <v>#REF!</v>
      </c>
      <c r="P19" s="59">
        <v>7.2775999999999996</v>
      </c>
      <c r="Q19" s="57">
        <f t="shared" si="2"/>
        <v>84.23</v>
      </c>
      <c r="R19" s="59">
        <v>6.0815999999999999</v>
      </c>
      <c r="S19" s="149">
        <v>0</v>
      </c>
      <c r="T19" s="149">
        <v>0</v>
      </c>
      <c r="U19" s="59">
        <f t="shared" si="1"/>
        <v>6.0815999999999999</v>
      </c>
      <c r="V19" s="59">
        <v>70</v>
      </c>
      <c r="W19" s="151"/>
      <c r="X19" s="131">
        <v>2.8</v>
      </c>
      <c r="Y19" s="131">
        <f>ROUND((S19*1000000/(24*3600)),2)</f>
        <v>0</v>
      </c>
      <c r="Z19" s="135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187.7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0.53900000000000003</v>
      </c>
      <c r="N20" s="127">
        <f>ROUND((M20/L20)*100,2)</f>
        <v>46.47</v>
      </c>
      <c r="O20" s="57" t="e">
        <f>(#REF!/L20)</f>
        <v>#REF!</v>
      </c>
      <c r="P20" s="60">
        <v>1.64</v>
      </c>
      <c r="Q20" s="57">
        <f t="shared" si="2"/>
        <v>18.98</v>
      </c>
      <c r="R20" s="60">
        <v>1.5721000000000001</v>
      </c>
      <c r="S20" s="147">
        <v>0</v>
      </c>
      <c r="T20" s="153">
        <v>0</v>
      </c>
      <c r="U20" s="60">
        <f t="shared" si="1"/>
        <v>1.5721000000000001</v>
      </c>
      <c r="V20" s="60">
        <v>31</v>
      </c>
      <c r="W20" s="154"/>
      <c r="X20" s="131">
        <v>0.48370999999999997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820.1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0.18770000000000001</v>
      </c>
      <c r="N21" s="126">
        <f t="shared" si="0"/>
        <v>24.6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846.8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0.189</v>
      </c>
      <c r="N22" s="139">
        <f t="shared" si="0"/>
        <v>48.46</v>
      </c>
      <c r="O22" s="115" t="e">
        <f>(#REF!/L22)</f>
        <v>#REF!</v>
      </c>
      <c r="P22" s="116">
        <v>1.359</v>
      </c>
      <c r="Q22" s="57">
        <f t="shared" si="2"/>
        <v>15.73</v>
      </c>
      <c r="R22" s="116">
        <v>1.3353999999999999</v>
      </c>
      <c r="S22" s="153">
        <v>0</v>
      </c>
      <c r="T22" s="153">
        <v>0</v>
      </c>
      <c r="U22" s="116">
        <f t="shared" si="1"/>
        <v>1.3353999999999999</v>
      </c>
      <c r="V22" s="116">
        <v>20.7</v>
      </c>
      <c r="W22" s="156"/>
      <c r="X22" s="131">
        <v>1.0515000000000001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1215.05</v>
      </c>
      <c r="N23" s="200">
        <f t="shared" si="0"/>
        <v>34.25</v>
      </c>
      <c r="O23" s="200" t="e">
        <f>(#REF!/L23)</f>
        <v>#REF!</v>
      </c>
      <c r="P23" s="89"/>
      <c r="Q23" s="200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170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tabSelected="1" workbookViewId="0">
      <selection activeCell="E3" sqref="E3"/>
    </sheetView>
  </sheetViews>
  <sheetFormatPr defaultColWidth="9.42578125" defaultRowHeight="17.25"/>
  <cols>
    <col min="1" max="1" width="4.42578125" style="125" customWidth="1"/>
    <col min="2" max="2" width="30.42578125" style="118" customWidth="1"/>
    <col min="3" max="3" width="8" style="52" customWidth="1"/>
    <col min="4" max="4" width="12.42578125" style="52" customWidth="1"/>
    <col min="5" max="5" width="15.42578125" style="52" customWidth="1"/>
    <col min="6" max="6" width="14.42578125" style="52" customWidth="1"/>
    <col min="7" max="7" width="10" style="52" hidden="1" customWidth="1"/>
    <col min="8" max="8" width="9.42578125" style="52" hidden="1" customWidth="1"/>
    <col min="9" max="9" width="10.5703125" style="52" customWidth="1"/>
    <col min="10" max="10" width="11.5703125" style="52" customWidth="1"/>
    <col min="11" max="11" width="10.5703125" style="52" customWidth="1"/>
    <col min="12" max="12" width="12.5703125" style="52" hidden="1" customWidth="1"/>
    <col min="13" max="13" width="11.5703125" style="52" customWidth="1"/>
    <col min="14" max="14" width="9.5703125" style="52" customWidth="1"/>
    <col min="15" max="15" width="10.5703125" style="52" hidden="1" customWidth="1"/>
    <col min="16" max="17" width="10.5703125" style="52" customWidth="1"/>
    <col min="18" max="18" width="11" style="52" bestFit="1" customWidth="1"/>
    <col min="19" max="19" width="9.42578125" style="170" customWidth="1"/>
    <col min="20" max="20" width="10.42578125" style="52" customWidth="1"/>
    <col min="21" max="21" width="11.5703125" style="52" customWidth="1"/>
    <col min="22" max="22" width="9.42578125" style="171" customWidth="1"/>
    <col min="23" max="23" width="24.42578125" style="52" customWidth="1"/>
    <col min="24" max="24" width="17.5703125" style="56" customWidth="1"/>
    <col min="25" max="25" width="10.5703125" style="56" customWidth="1"/>
    <col min="26" max="27" width="9.42578125" style="136"/>
    <col min="28" max="16384" width="9.42578125" style="1"/>
  </cols>
  <sheetData>
    <row r="1" spans="1:28" ht="23.25" customHeight="1">
      <c r="A1" s="202" t="s">
        <v>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4"/>
    </row>
    <row r="2" spans="1:28" ht="30" customHeight="1">
      <c r="A2" s="205" t="s">
        <v>171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7"/>
    </row>
    <row r="3" spans="1:28" ht="95.25" customHeight="1">
      <c r="A3" s="123" t="s">
        <v>1</v>
      </c>
      <c r="B3" s="3" t="s">
        <v>105</v>
      </c>
      <c r="C3" s="3" t="s">
        <v>2</v>
      </c>
      <c r="D3" s="3" t="s">
        <v>71</v>
      </c>
      <c r="E3" s="3" t="s">
        <v>6</v>
      </c>
      <c r="F3" s="2" t="s">
        <v>110</v>
      </c>
      <c r="G3" s="3" t="s">
        <v>3</v>
      </c>
      <c r="H3" s="54" t="s">
        <v>4</v>
      </c>
      <c r="I3" s="120" t="s">
        <v>107</v>
      </c>
      <c r="J3" s="113" t="s">
        <v>108</v>
      </c>
      <c r="K3" s="55" t="s">
        <v>109</v>
      </c>
      <c r="L3" s="3" t="s">
        <v>5</v>
      </c>
      <c r="M3" s="2" t="s">
        <v>74</v>
      </c>
      <c r="N3" s="2" t="s">
        <v>73</v>
      </c>
      <c r="O3" s="4" t="s">
        <v>7</v>
      </c>
      <c r="P3" s="3" t="s">
        <v>67</v>
      </c>
      <c r="Q3" s="3" t="s">
        <v>112</v>
      </c>
      <c r="R3" s="3" t="s">
        <v>68</v>
      </c>
      <c r="S3" s="158" t="s">
        <v>69</v>
      </c>
      <c r="T3" s="3" t="s">
        <v>111</v>
      </c>
      <c r="U3" s="3" t="s">
        <v>70</v>
      </c>
      <c r="V3" s="3" t="s">
        <v>8</v>
      </c>
      <c r="W3" s="159" t="s">
        <v>9</v>
      </c>
      <c r="X3" s="160" t="s">
        <v>60</v>
      </c>
      <c r="AA3" s="136">
        <f>0.224/8</f>
        <v>2.8000000000000001E-2</v>
      </c>
    </row>
    <row r="4" spans="1:28" s="136" customFormat="1" ht="24.75" customHeight="1">
      <c r="A4" s="88">
        <v>1</v>
      </c>
      <c r="B4" s="88">
        <v>2</v>
      </c>
      <c r="C4" s="88">
        <v>3</v>
      </c>
      <c r="D4" s="88">
        <v>4</v>
      </c>
      <c r="E4" s="88">
        <v>5</v>
      </c>
      <c r="F4" s="88">
        <v>6</v>
      </c>
      <c r="G4" s="114"/>
      <c r="H4" s="114"/>
      <c r="I4" s="88">
        <v>7</v>
      </c>
      <c r="J4" s="88">
        <v>8</v>
      </c>
      <c r="K4" s="88">
        <v>9</v>
      </c>
      <c r="L4" s="114"/>
      <c r="M4" s="88">
        <v>10</v>
      </c>
      <c r="N4" s="88">
        <v>11</v>
      </c>
      <c r="O4" s="88">
        <v>15</v>
      </c>
      <c r="P4" s="88">
        <v>12</v>
      </c>
      <c r="Q4" s="88">
        <v>13</v>
      </c>
      <c r="R4" s="88">
        <v>14</v>
      </c>
      <c r="S4" s="88">
        <v>15</v>
      </c>
      <c r="T4" s="88">
        <v>16</v>
      </c>
      <c r="U4" s="88" t="s">
        <v>72</v>
      </c>
      <c r="V4" s="88">
        <v>18</v>
      </c>
      <c r="W4" s="161">
        <v>19</v>
      </c>
      <c r="X4" s="131" t="s">
        <v>115</v>
      </c>
      <c r="Y4" s="56"/>
    </row>
    <row r="5" spans="1:28" s="53" customFormat="1" ht="35.1" customHeight="1">
      <c r="A5" s="58">
        <v>1</v>
      </c>
      <c r="B5" s="122" t="s">
        <v>10</v>
      </c>
      <c r="C5" s="58" t="s">
        <v>11</v>
      </c>
      <c r="D5" s="101">
        <v>2403</v>
      </c>
      <c r="E5" s="129">
        <v>2380.58</v>
      </c>
      <c r="F5" s="129">
        <v>2330.9</v>
      </c>
      <c r="G5" s="58" t="s">
        <v>12</v>
      </c>
      <c r="H5" s="58" t="s">
        <v>13</v>
      </c>
      <c r="I5" s="59">
        <f>E5-8</f>
        <v>2372.58</v>
      </c>
      <c r="J5" s="59">
        <f>E5-2</f>
        <v>2378.58</v>
      </c>
      <c r="K5" s="59">
        <f>E5-1</f>
        <v>2379.58</v>
      </c>
      <c r="L5" s="59">
        <v>1459.49</v>
      </c>
      <c r="M5" s="126">
        <v>449.28300000000002</v>
      </c>
      <c r="N5" s="126">
        <f t="shared" ref="N5:N23" si="0">ROUND((M5/L5)*100,2)</f>
        <v>30.78</v>
      </c>
      <c r="O5" s="58" t="e">
        <f>(#REF!/L5)</f>
        <v>#REF!</v>
      </c>
      <c r="P5" s="59">
        <v>17.271000000000001</v>
      </c>
      <c r="Q5" s="58">
        <f>ROUND((P5*1000000/(24*3600)),2)</f>
        <v>199.9</v>
      </c>
      <c r="R5" s="59">
        <v>2.8107000000000002</v>
      </c>
      <c r="S5" s="149">
        <v>0</v>
      </c>
      <c r="T5" s="149">
        <v>0</v>
      </c>
      <c r="U5" s="59">
        <f t="shared" ref="U5:U22" si="1">R5+S5</f>
        <v>2.8107000000000002</v>
      </c>
      <c r="V5" s="59">
        <v>57.4</v>
      </c>
      <c r="W5" s="152"/>
      <c r="X5" s="131">
        <v>4.09</v>
      </c>
      <c r="Y5" s="132"/>
      <c r="Z5" s="135"/>
      <c r="AA5" s="135"/>
    </row>
    <row r="6" spans="1:28" s="53" customFormat="1" ht="35.1" customHeight="1">
      <c r="A6" s="57">
        <v>2</v>
      </c>
      <c r="B6" s="128" t="s">
        <v>14</v>
      </c>
      <c r="C6" s="57" t="s">
        <v>15</v>
      </c>
      <c r="D6" s="60">
        <v>169</v>
      </c>
      <c r="E6" s="127">
        <v>162.5</v>
      </c>
      <c r="F6" s="127">
        <v>145.43</v>
      </c>
      <c r="G6" s="57">
        <v>171</v>
      </c>
      <c r="H6" s="57">
        <v>161</v>
      </c>
      <c r="I6" s="60">
        <f>E6-1.5</f>
        <v>161</v>
      </c>
      <c r="J6" s="60">
        <f>E6-1</f>
        <v>161.5</v>
      </c>
      <c r="K6" s="60">
        <f>E6-0.5</f>
        <v>162</v>
      </c>
      <c r="L6" s="60">
        <v>1017.8</v>
      </c>
      <c r="M6" s="127">
        <v>416.03</v>
      </c>
      <c r="N6" s="127">
        <f t="shared" si="0"/>
        <v>40.880000000000003</v>
      </c>
      <c r="O6" s="57" t="e">
        <f>(#REF!/L6)</f>
        <v>#REF!</v>
      </c>
      <c r="P6" s="60">
        <v>12.7294</v>
      </c>
      <c r="Q6" s="57">
        <f>ROUND((P6*1000000/(24*3600)),2)</f>
        <v>147.33000000000001</v>
      </c>
      <c r="R6" s="60">
        <v>0.80320000000000003</v>
      </c>
      <c r="S6" s="147">
        <v>0</v>
      </c>
      <c r="T6" s="147">
        <v>0</v>
      </c>
      <c r="U6" s="60">
        <f t="shared" si="1"/>
        <v>0.80320000000000003</v>
      </c>
      <c r="V6" s="60">
        <v>55</v>
      </c>
      <c r="W6" s="148"/>
      <c r="X6" s="131">
        <v>0.20349999999999999</v>
      </c>
      <c r="Y6" s="132"/>
      <c r="Z6" s="135"/>
      <c r="AA6" s="135"/>
    </row>
    <row r="7" spans="1:28" s="53" customFormat="1" ht="35.1" customHeight="1">
      <c r="A7" s="58">
        <v>3</v>
      </c>
      <c r="B7" s="122" t="s">
        <v>106</v>
      </c>
      <c r="C7" s="58" t="s">
        <v>16</v>
      </c>
      <c r="D7" s="58">
        <v>981.46</v>
      </c>
      <c r="E7" s="126">
        <v>975.36</v>
      </c>
      <c r="F7" s="126">
        <v>956.47</v>
      </c>
      <c r="G7" s="58">
        <v>982.16</v>
      </c>
      <c r="H7" s="58">
        <v>975.36</v>
      </c>
      <c r="I7" s="59">
        <f>E7-2</f>
        <v>973.36</v>
      </c>
      <c r="J7" s="59">
        <f>E7-1</f>
        <v>974.36</v>
      </c>
      <c r="K7" s="59">
        <f>E7-0.5</f>
        <v>974.86</v>
      </c>
      <c r="L7" s="59">
        <v>446.51</v>
      </c>
      <c r="M7" s="126">
        <v>153.88</v>
      </c>
      <c r="N7" s="126">
        <f t="shared" si="0"/>
        <v>34.46</v>
      </c>
      <c r="O7" s="58" t="e">
        <f>(#REF!/L7)</f>
        <v>#REF!</v>
      </c>
      <c r="P7" s="59">
        <v>7.4413999999999998</v>
      </c>
      <c r="Q7" s="58">
        <f t="shared" ref="Q7:Q22" si="2">ROUND((P7*1000000/(24*3600)),2)</f>
        <v>86.13</v>
      </c>
      <c r="R7" s="59">
        <v>0.99139999999999995</v>
      </c>
      <c r="S7" s="149">
        <v>0</v>
      </c>
      <c r="T7" s="149">
        <v>0</v>
      </c>
      <c r="U7" s="59">
        <f t="shared" si="1"/>
        <v>0.99139999999999995</v>
      </c>
      <c r="V7" s="59">
        <v>102</v>
      </c>
      <c r="W7" s="151"/>
      <c r="X7" s="131">
        <v>1.599</v>
      </c>
      <c r="Y7" s="133"/>
      <c r="Z7" s="135"/>
      <c r="AA7" s="135"/>
    </row>
    <row r="8" spans="1:28" s="53" customFormat="1" ht="91.5" customHeight="1">
      <c r="A8" s="57">
        <v>4</v>
      </c>
      <c r="B8" s="128" t="s">
        <v>114</v>
      </c>
      <c r="C8" s="57" t="s">
        <v>17</v>
      </c>
      <c r="D8" s="60">
        <v>775.6</v>
      </c>
      <c r="E8" s="127">
        <v>773.5</v>
      </c>
      <c r="F8" s="127">
        <v>765.45</v>
      </c>
      <c r="G8" s="57">
        <v>775.6</v>
      </c>
      <c r="H8" s="57">
        <v>767</v>
      </c>
      <c r="I8" s="60">
        <f>E8-1.5</f>
        <v>772</v>
      </c>
      <c r="J8" s="60">
        <f>E8-1</f>
        <v>772.5</v>
      </c>
      <c r="K8" s="60">
        <f>E8-0.5</f>
        <v>773</v>
      </c>
      <c r="L8" s="60">
        <v>201</v>
      </c>
      <c r="M8" s="127">
        <v>88.75</v>
      </c>
      <c r="N8" s="127">
        <f t="shared" si="0"/>
        <v>44.15</v>
      </c>
      <c r="O8" s="57" t="e">
        <f>(#REF!/L8)</f>
        <v>#REF!</v>
      </c>
      <c r="P8" s="60">
        <v>4.4000000000000004</v>
      </c>
      <c r="Q8" s="57">
        <f>ROUND((P8*1000000/(24*3600)),2)</f>
        <v>50.93</v>
      </c>
      <c r="R8" s="60"/>
      <c r="S8" s="147">
        <v>0</v>
      </c>
      <c r="T8" s="147">
        <v>0</v>
      </c>
      <c r="U8" s="60">
        <f t="shared" si="1"/>
        <v>0</v>
      </c>
      <c r="V8" s="60">
        <v>51.7</v>
      </c>
      <c r="W8" s="150" t="s">
        <v>134</v>
      </c>
      <c r="X8" s="131"/>
      <c r="Y8" s="133"/>
      <c r="Z8" s="135">
        <f>0.16/8</f>
        <v>0.02</v>
      </c>
      <c r="AA8" s="135"/>
    </row>
    <row r="9" spans="1:28" s="53" customFormat="1" ht="35.1" customHeight="1">
      <c r="A9" s="58">
        <v>5</v>
      </c>
      <c r="B9" s="122" t="s">
        <v>18</v>
      </c>
      <c r="C9" s="58" t="s">
        <v>19</v>
      </c>
      <c r="D9" s="101">
        <v>2663</v>
      </c>
      <c r="E9" s="58"/>
      <c r="F9" s="129">
        <v>2622.2</v>
      </c>
      <c r="G9" s="58" t="s">
        <v>20</v>
      </c>
      <c r="H9" s="58" t="s">
        <v>21</v>
      </c>
      <c r="I9" s="59">
        <v>2658</v>
      </c>
      <c r="J9" s="59">
        <v>2660</v>
      </c>
      <c r="K9" s="59">
        <v>2661</v>
      </c>
      <c r="L9" s="59">
        <v>149.089</v>
      </c>
      <c r="M9" s="126">
        <v>60.5</v>
      </c>
      <c r="N9" s="126">
        <f t="shared" si="0"/>
        <v>40.58</v>
      </c>
      <c r="O9" s="58" t="e">
        <f>(#REF!/L9)</f>
        <v>#REF!</v>
      </c>
      <c r="P9" s="59">
        <v>1.6197999999999999</v>
      </c>
      <c r="Q9" s="58">
        <f t="shared" si="2"/>
        <v>18.75</v>
      </c>
      <c r="R9" s="59">
        <v>0</v>
      </c>
      <c r="S9" s="149">
        <v>0</v>
      </c>
      <c r="T9" s="149">
        <v>0</v>
      </c>
      <c r="U9" s="59">
        <f t="shared" si="1"/>
        <v>0</v>
      </c>
      <c r="V9" s="59">
        <v>82</v>
      </c>
      <c r="W9" s="151"/>
      <c r="X9" s="131">
        <v>0</v>
      </c>
      <c r="Y9" s="131"/>
      <c r="Z9" s="135"/>
      <c r="AA9" s="135"/>
    </row>
    <row r="10" spans="1:28" s="53" customFormat="1" ht="42.75" customHeight="1">
      <c r="A10" s="57">
        <v>6</v>
      </c>
      <c r="B10" s="128" t="s">
        <v>22</v>
      </c>
      <c r="C10" s="57" t="s">
        <v>11</v>
      </c>
      <c r="D10" s="57">
        <v>1599.59</v>
      </c>
      <c r="E10" s="57"/>
      <c r="F10" s="127">
        <v>1566.65</v>
      </c>
      <c r="G10" s="57">
        <v>1599.59</v>
      </c>
      <c r="H10" s="57">
        <v>1594.71</v>
      </c>
      <c r="I10" s="60">
        <v>1596</v>
      </c>
      <c r="J10" s="60">
        <v>1597</v>
      </c>
      <c r="K10" s="60">
        <v>1598</v>
      </c>
      <c r="L10" s="60">
        <v>54.77</v>
      </c>
      <c r="M10" s="127">
        <v>0.94</v>
      </c>
      <c r="N10" s="127">
        <f t="shared" si="0"/>
        <v>1.72</v>
      </c>
      <c r="O10" s="57" t="e">
        <f>(#REF!/L10)</f>
        <v>#REF!</v>
      </c>
      <c r="P10" s="60">
        <v>0.3</v>
      </c>
      <c r="Q10" s="57">
        <f t="shared" si="2"/>
        <v>3.47</v>
      </c>
      <c r="R10" s="60">
        <v>0</v>
      </c>
      <c r="S10" s="147">
        <v>0</v>
      </c>
      <c r="T10" s="147">
        <f>Y10</f>
        <v>0</v>
      </c>
      <c r="U10" s="60">
        <f t="shared" si="1"/>
        <v>0</v>
      </c>
      <c r="V10" s="60">
        <v>30.6</v>
      </c>
      <c r="W10" s="150" t="s">
        <v>172</v>
      </c>
      <c r="X10" s="131">
        <v>0</v>
      </c>
      <c r="Y10" s="134">
        <f>(S10*1000000)/(24*60*60)</f>
        <v>0</v>
      </c>
      <c r="Z10" s="135"/>
      <c r="AA10" s="135"/>
    </row>
    <row r="11" spans="1:28" s="53" customFormat="1" ht="42" customHeight="1">
      <c r="A11" s="58">
        <v>7</v>
      </c>
      <c r="B11" s="122" t="s">
        <v>23</v>
      </c>
      <c r="C11" s="58" t="s">
        <v>11</v>
      </c>
      <c r="D11" s="58">
        <v>1207.02</v>
      </c>
      <c r="E11" s="58"/>
      <c r="F11" s="126">
        <v>1196.05</v>
      </c>
      <c r="G11" s="58">
        <v>1210.07</v>
      </c>
      <c r="H11" s="58">
        <v>1207.02</v>
      </c>
      <c r="I11" s="59">
        <v>1205.02</v>
      </c>
      <c r="J11" s="59">
        <v>1206.02</v>
      </c>
      <c r="K11" s="59">
        <v>1207.02</v>
      </c>
      <c r="L11" s="59">
        <v>49.83</v>
      </c>
      <c r="M11" s="126">
        <v>11.8559</v>
      </c>
      <c r="N11" s="126">
        <f t="shared" si="0"/>
        <v>23.79</v>
      </c>
      <c r="O11" s="58" t="e">
        <f>(#REF!/L11)</f>
        <v>#REF!</v>
      </c>
      <c r="P11" s="59">
        <v>6.93E-2</v>
      </c>
      <c r="Q11" s="59">
        <f t="shared" si="2"/>
        <v>0.8</v>
      </c>
      <c r="R11" s="59"/>
      <c r="S11" s="155">
        <v>0</v>
      </c>
      <c r="T11" s="149">
        <v>0</v>
      </c>
      <c r="U11" s="58">
        <f t="shared" si="1"/>
        <v>0</v>
      </c>
      <c r="V11" s="59">
        <v>11</v>
      </c>
      <c r="W11" s="150" t="s">
        <v>135</v>
      </c>
      <c r="X11" s="131">
        <v>0</v>
      </c>
      <c r="Y11" s="135">
        <f>ROUND((S11*1000000/(24*3600)),2)</f>
        <v>0</v>
      </c>
      <c r="Z11" s="135"/>
      <c r="AA11" s="135"/>
    </row>
    <row r="12" spans="1:28" s="53" customFormat="1" ht="39.75" customHeight="1">
      <c r="A12" s="57">
        <v>8</v>
      </c>
      <c r="B12" s="128" t="s">
        <v>24</v>
      </c>
      <c r="C12" s="57" t="s">
        <v>11</v>
      </c>
      <c r="D12" s="57">
        <v>707.75</v>
      </c>
      <c r="E12" s="57"/>
      <c r="F12" s="127">
        <v>694.3</v>
      </c>
      <c r="G12" s="57">
        <v>708.66</v>
      </c>
      <c r="H12" s="57">
        <v>701.35</v>
      </c>
      <c r="I12" s="60">
        <v>704.5</v>
      </c>
      <c r="J12" s="60">
        <v>705.5</v>
      </c>
      <c r="K12" s="60">
        <v>706.5</v>
      </c>
      <c r="L12" s="60">
        <v>47.4</v>
      </c>
      <c r="M12" s="127">
        <v>20.843900000000001</v>
      </c>
      <c r="N12" s="127">
        <f t="shared" si="0"/>
        <v>43.97</v>
      </c>
      <c r="O12" s="57" t="e">
        <f>(#REF!/L12)</f>
        <v>#REF!</v>
      </c>
      <c r="P12" s="60">
        <v>1.6318999999999999</v>
      </c>
      <c r="Q12" s="57">
        <f t="shared" si="2"/>
        <v>18.89</v>
      </c>
      <c r="R12" s="60">
        <v>0.21087</v>
      </c>
      <c r="S12" s="147">
        <v>0</v>
      </c>
      <c r="T12" s="147">
        <v>0</v>
      </c>
      <c r="U12" s="60">
        <f>R12+S12</f>
        <v>0.21087</v>
      </c>
      <c r="V12" s="60">
        <v>54</v>
      </c>
      <c r="W12" s="150"/>
      <c r="X12" s="131">
        <v>8.6599999999999996E-2</v>
      </c>
      <c r="Y12" s="135">
        <f>ROUND((S12*1000000/(24*3600)),2)</f>
        <v>0</v>
      </c>
      <c r="Z12" s="135"/>
      <c r="AA12" s="135"/>
    </row>
    <row r="13" spans="1:28" s="53" customFormat="1" ht="35.1" customHeight="1">
      <c r="A13" s="58">
        <v>9</v>
      </c>
      <c r="B13" s="122" t="s">
        <v>116</v>
      </c>
      <c r="C13" s="58" t="s">
        <v>25</v>
      </c>
      <c r="D13" s="58">
        <v>758.04</v>
      </c>
      <c r="E13" s="58"/>
      <c r="F13" s="126">
        <v>753.1</v>
      </c>
      <c r="G13" s="58">
        <v>758.04</v>
      </c>
      <c r="H13" s="58">
        <v>751.64</v>
      </c>
      <c r="I13" s="59">
        <v>755.5</v>
      </c>
      <c r="J13" s="59">
        <v>756.5</v>
      </c>
      <c r="K13" s="59">
        <v>757.5</v>
      </c>
      <c r="L13" s="59">
        <v>33.979999999999997</v>
      </c>
      <c r="M13" s="126">
        <v>21.986999999999998</v>
      </c>
      <c r="N13" s="126">
        <f t="shared" si="0"/>
        <v>64.709999999999994</v>
      </c>
      <c r="O13" s="58" t="e">
        <f>(#REF!/L13)</f>
        <v>#REF!</v>
      </c>
      <c r="P13" s="59">
        <v>3.9026000000000001</v>
      </c>
      <c r="Q13" s="58">
        <f t="shared" si="2"/>
        <v>45.17</v>
      </c>
      <c r="R13" s="59">
        <v>2.9285999999999999</v>
      </c>
      <c r="S13" s="149">
        <v>0</v>
      </c>
      <c r="T13" s="149">
        <v>0</v>
      </c>
      <c r="U13" s="59">
        <f t="shared" si="1"/>
        <v>2.9285999999999999</v>
      </c>
      <c r="V13" s="59">
        <v>117</v>
      </c>
      <c r="W13" s="152"/>
      <c r="X13" s="131">
        <v>4.1444000000000001</v>
      </c>
      <c r="Y13" s="133"/>
      <c r="Z13" s="135"/>
      <c r="AA13" s="135"/>
    </row>
    <row r="14" spans="1:28" s="53" customFormat="1" ht="35.1" customHeight="1">
      <c r="A14" s="57">
        <v>10</v>
      </c>
      <c r="B14" s="128" t="s">
        <v>26</v>
      </c>
      <c r="C14" s="57" t="s">
        <v>16</v>
      </c>
      <c r="D14" s="57">
        <v>986.33</v>
      </c>
      <c r="E14" s="57"/>
      <c r="F14" s="127">
        <v>966.3</v>
      </c>
      <c r="G14" s="57">
        <v>986.33</v>
      </c>
      <c r="H14" s="57">
        <v>981.46</v>
      </c>
      <c r="I14" s="60">
        <v>982</v>
      </c>
      <c r="J14" s="60">
        <v>983.5</v>
      </c>
      <c r="K14" s="60">
        <v>984.5</v>
      </c>
      <c r="L14" s="60">
        <v>31.15</v>
      </c>
      <c r="M14" s="127">
        <v>2.48</v>
      </c>
      <c r="N14" s="127">
        <f t="shared" si="0"/>
        <v>7.96</v>
      </c>
      <c r="O14" s="57" t="e">
        <f>(#REF!/L14)</f>
        <v>#REF!</v>
      </c>
      <c r="P14" s="60">
        <v>3.339</v>
      </c>
      <c r="Q14" s="57">
        <f>ROUND((P14*1000000/(24*3600)),2)</f>
        <v>38.65</v>
      </c>
      <c r="R14" s="60"/>
      <c r="S14" s="147">
        <v>0</v>
      </c>
      <c r="T14" s="147">
        <v>0</v>
      </c>
      <c r="U14" s="60">
        <f t="shared" si="1"/>
        <v>0</v>
      </c>
      <c r="V14" s="60">
        <v>67</v>
      </c>
      <c r="W14" s="148"/>
      <c r="X14" s="131">
        <v>0</v>
      </c>
      <c r="Y14" s="133"/>
      <c r="Z14" s="135" t="s">
        <v>118</v>
      </c>
      <c r="AA14" s="135"/>
    </row>
    <row r="15" spans="1:28" s="53" customFormat="1" ht="33.75" customHeight="1">
      <c r="A15" s="58">
        <v>11</v>
      </c>
      <c r="B15" s="184" t="s">
        <v>27</v>
      </c>
      <c r="C15" s="58" t="s">
        <v>19</v>
      </c>
      <c r="D15" s="58">
        <v>423.98</v>
      </c>
      <c r="E15" s="58"/>
      <c r="F15" s="126">
        <v>419.95</v>
      </c>
      <c r="G15" s="58">
        <v>423.98</v>
      </c>
      <c r="H15" s="58">
        <v>419.41</v>
      </c>
      <c r="I15" s="59">
        <v>421</v>
      </c>
      <c r="J15" s="59">
        <v>422</v>
      </c>
      <c r="K15" s="59">
        <v>423</v>
      </c>
      <c r="L15" s="59">
        <v>30.3</v>
      </c>
      <c r="M15" s="126">
        <v>19.63</v>
      </c>
      <c r="N15" s="126">
        <f t="shared" si="0"/>
        <v>64.790000000000006</v>
      </c>
      <c r="O15" s="58" t="e">
        <f>(#REF!/L15)</f>
        <v>#REF!</v>
      </c>
      <c r="P15" s="59">
        <v>8.4055</v>
      </c>
      <c r="Q15" s="58">
        <f t="shared" si="2"/>
        <v>97.29</v>
      </c>
      <c r="R15" s="59">
        <v>4.7770999999999999</v>
      </c>
      <c r="S15" s="149">
        <v>2.8784000000000001</v>
      </c>
      <c r="T15" s="149">
        <v>33.31</v>
      </c>
      <c r="U15" s="59">
        <f t="shared" si="1"/>
        <v>7.6555</v>
      </c>
      <c r="V15" s="59">
        <v>37.4</v>
      </c>
      <c r="W15" s="151" t="s">
        <v>173</v>
      </c>
      <c r="X15" s="131">
        <v>1.87727</v>
      </c>
      <c r="Y15" s="131">
        <f>ROUND((S15*1000000/(24*3600)),2)</f>
        <v>33.31</v>
      </c>
      <c r="Z15" s="135" t="s">
        <v>117</v>
      </c>
      <c r="AA15" s="135"/>
      <c r="AB15" s="53">
        <f>0.0294/8</f>
        <v>3.6749999999999999E-3</v>
      </c>
    </row>
    <row r="16" spans="1:28" s="53" customFormat="1" ht="54.75" customHeight="1">
      <c r="A16" s="57">
        <v>12</v>
      </c>
      <c r="B16" s="128" t="s">
        <v>28</v>
      </c>
      <c r="C16" s="57" t="s">
        <v>11</v>
      </c>
      <c r="D16" s="57">
        <v>1758.69</v>
      </c>
      <c r="E16" s="57"/>
      <c r="F16" s="127">
        <v>1748.75</v>
      </c>
      <c r="G16" s="57">
        <v>1759.3</v>
      </c>
      <c r="H16" s="57" t="s">
        <v>29</v>
      </c>
      <c r="I16" s="60">
        <v>1755</v>
      </c>
      <c r="J16" s="60">
        <v>1756</v>
      </c>
      <c r="K16" s="60">
        <v>1757</v>
      </c>
      <c r="L16" s="60">
        <v>7.65</v>
      </c>
      <c r="M16" s="127">
        <v>2.1800000000000002</v>
      </c>
      <c r="N16" s="127">
        <f t="shared" si="0"/>
        <v>28.5</v>
      </c>
      <c r="O16" s="57" t="e">
        <f>(#REF!/L16)</f>
        <v>#REF!</v>
      </c>
      <c r="P16" s="60">
        <v>0.04</v>
      </c>
      <c r="Q16" s="57">
        <f t="shared" si="2"/>
        <v>0.46</v>
      </c>
      <c r="R16" s="60">
        <v>0</v>
      </c>
      <c r="S16" s="147">
        <v>0</v>
      </c>
      <c r="T16" s="147">
        <v>0</v>
      </c>
      <c r="U16" s="60">
        <f t="shared" si="1"/>
        <v>0</v>
      </c>
      <c r="V16" s="60">
        <v>7.2</v>
      </c>
      <c r="W16" s="157" t="s">
        <v>121</v>
      </c>
      <c r="X16" s="131">
        <v>0</v>
      </c>
      <c r="Y16" s="135">
        <f>ROUND((S16*1000000/(24*3600)),2)</f>
        <v>0</v>
      </c>
      <c r="Z16" s="135"/>
      <c r="AA16" s="135"/>
    </row>
    <row r="17" spans="1:27" s="53" customFormat="1" ht="18.75">
      <c r="A17" s="58">
        <v>13</v>
      </c>
      <c r="B17" s="137" t="s">
        <v>30</v>
      </c>
      <c r="C17" s="58" t="s">
        <v>11</v>
      </c>
      <c r="D17" s="58">
        <v>456.59</v>
      </c>
      <c r="E17" s="58"/>
      <c r="F17" s="126">
        <v>454.4</v>
      </c>
      <c r="G17" s="58">
        <v>456.9</v>
      </c>
      <c r="H17" s="58">
        <v>450.2</v>
      </c>
      <c r="I17" s="58"/>
      <c r="J17" s="58"/>
      <c r="K17" s="59">
        <v>455</v>
      </c>
      <c r="L17" s="59">
        <v>6.43</v>
      </c>
      <c r="M17" s="126">
        <v>5.0780000000000003</v>
      </c>
      <c r="N17" s="126">
        <f t="shared" si="0"/>
        <v>78.97</v>
      </c>
      <c r="O17" s="58" t="e">
        <f>(#REF!/L17)</f>
        <v>#REF!</v>
      </c>
      <c r="P17" s="59">
        <v>4.2213000000000003</v>
      </c>
      <c r="Q17" s="57">
        <f t="shared" si="2"/>
        <v>48.86</v>
      </c>
      <c r="R17" s="59">
        <v>3.2351999999999999</v>
      </c>
      <c r="S17" s="149">
        <v>0</v>
      </c>
      <c r="T17" s="149">
        <v>0</v>
      </c>
      <c r="U17" s="59">
        <f t="shared" si="1"/>
        <v>3.2351999999999999</v>
      </c>
      <c r="V17" s="59">
        <v>49</v>
      </c>
      <c r="W17" s="150"/>
      <c r="X17" s="131">
        <v>1.5163</v>
      </c>
      <c r="Y17" s="134">
        <f>(S17*1000000)/(24*60*60)</f>
        <v>0</v>
      </c>
      <c r="Z17" s="135">
        <f>ROUND((0.054*1000000/(24*3600)),2)</f>
        <v>0.63</v>
      </c>
      <c r="AA17" s="135"/>
    </row>
    <row r="18" spans="1:27" s="53" customFormat="1" ht="18.75">
      <c r="A18" s="57">
        <v>14</v>
      </c>
      <c r="B18" s="128" t="s">
        <v>31</v>
      </c>
      <c r="C18" s="57" t="s">
        <v>11</v>
      </c>
      <c r="D18" s="57">
        <v>754.38</v>
      </c>
      <c r="E18" s="57"/>
      <c r="F18" s="127">
        <v>747.1</v>
      </c>
      <c r="G18" s="57">
        <v>754.38</v>
      </c>
      <c r="H18" s="57">
        <v>748.28</v>
      </c>
      <c r="I18" s="57"/>
      <c r="J18" s="57"/>
      <c r="K18" s="60">
        <v>748.28</v>
      </c>
      <c r="L18" s="60">
        <v>5.2920000000000007</v>
      </c>
      <c r="M18" s="127">
        <v>0.75160000000000005</v>
      </c>
      <c r="N18" s="127">
        <f t="shared" si="0"/>
        <v>14.2</v>
      </c>
      <c r="O18" s="57"/>
      <c r="P18" s="60"/>
      <c r="Q18" s="57">
        <f t="shared" si="2"/>
        <v>0</v>
      </c>
      <c r="R18" s="60"/>
      <c r="S18" s="147">
        <v>0</v>
      </c>
      <c r="T18" s="147">
        <v>0</v>
      </c>
      <c r="U18" s="60">
        <f t="shared" si="1"/>
        <v>0</v>
      </c>
      <c r="V18" s="60">
        <v>0</v>
      </c>
      <c r="W18" s="148"/>
      <c r="X18" s="131">
        <v>0</v>
      </c>
      <c r="Y18" s="132"/>
      <c r="Z18" s="135"/>
      <c r="AA18" s="135"/>
    </row>
    <row r="19" spans="1:27" s="53" customFormat="1" ht="31.5">
      <c r="A19" s="58">
        <v>15</v>
      </c>
      <c r="B19" s="177" t="s">
        <v>32</v>
      </c>
      <c r="C19" s="58" t="s">
        <v>11</v>
      </c>
      <c r="D19" s="58">
        <v>253</v>
      </c>
      <c r="E19" s="58"/>
      <c r="F19" s="126">
        <v>253</v>
      </c>
      <c r="G19" s="58">
        <v>256</v>
      </c>
      <c r="H19" s="58">
        <v>237.74</v>
      </c>
      <c r="I19" s="58"/>
      <c r="J19" s="58"/>
      <c r="K19" s="59">
        <v>252</v>
      </c>
      <c r="L19" s="59">
        <v>4.55</v>
      </c>
      <c r="M19" s="126">
        <v>4.55</v>
      </c>
      <c r="N19" s="126">
        <f t="shared" si="0"/>
        <v>100</v>
      </c>
      <c r="O19" s="58" t="e">
        <f>(#REF!/L19)</f>
        <v>#REF!</v>
      </c>
      <c r="P19" s="59">
        <v>7.6830999999999996</v>
      </c>
      <c r="Q19" s="57">
        <f t="shared" si="2"/>
        <v>88.92</v>
      </c>
      <c r="R19" s="59">
        <v>6.2163000000000004</v>
      </c>
      <c r="S19" s="149">
        <v>0.70079999999999998</v>
      </c>
      <c r="T19" s="149">
        <v>8.11</v>
      </c>
      <c r="U19" s="59">
        <f t="shared" si="1"/>
        <v>6.9171000000000005</v>
      </c>
      <c r="V19" s="59">
        <v>72</v>
      </c>
      <c r="W19" s="151" t="s">
        <v>174</v>
      </c>
      <c r="X19" s="131">
        <v>2.8620000000000001</v>
      </c>
      <c r="Y19" s="131">
        <f>ROUND((S19*1000000/(24*3600)),2)</f>
        <v>8.11</v>
      </c>
      <c r="Z19" s="131"/>
      <c r="AA19" s="135">
        <f>ROUND((0.1728*1000000/(3*3600)),2)</f>
        <v>16</v>
      </c>
    </row>
    <row r="20" spans="1:27" ht="18.75">
      <c r="A20" s="57">
        <v>16</v>
      </c>
      <c r="B20" s="121" t="s">
        <v>33</v>
      </c>
      <c r="C20" s="57" t="s">
        <v>16</v>
      </c>
      <c r="D20" s="57">
        <v>192.63</v>
      </c>
      <c r="E20" s="57"/>
      <c r="F20" s="127">
        <v>189.2</v>
      </c>
      <c r="G20" s="57">
        <v>192.94</v>
      </c>
      <c r="H20" s="57">
        <v>186.53</v>
      </c>
      <c r="I20" s="57"/>
      <c r="J20" s="57"/>
      <c r="K20" s="60">
        <v>190</v>
      </c>
      <c r="L20" s="60">
        <v>1.1599999999999999</v>
      </c>
      <c r="M20" s="127">
        <v>0.70399999999999996</v>
      </c>
      <c r="N20" s="127">
        <f>ROUND((M20/L20)*100,2)</f>
        <v>60.69</v>
      </c>
      <c r="O20" s="57" t="e">
        <f>(#REF!/L20)</f>
        <v>#REF!</v>
      </c>
      <c r="P20" s="60">
        <v>1.9033</v>
      </c>
      <c r="Q20" s="57">
        <f t="shared" si="2"/>
        <v>22.03</v>
      </c>
      <c r="R20" s="60">
        <v>1.6361000000000001</v>
      </c>
      <c r="S20" s="147">
        <v>0</v>
      </c>
      <c r="T20" s="153">
        <v>0</v>
      </c>
      <c r="U20" s="60">
        <f t="shared" si="1"/>
        <v>1.6361000000000001</v>
      </c>
      <c r="V20" s="60">
        <v>58</v>
      </c>
      <c r="W20" s="154"/>
      <c r="X20" s="131">
        <v>0.50341999999999998</v>
      </c>
      <c r="Y20" s="131">
        <f>ROUND((S20*1000000/(24*3600)),2)</f>
        <v>0</v>
      </c>
      <c r="Z20" s="135">
        <f>ROUND((S20*1000000/(24*3600)),2)</f>
        <v>0</v>
      </c>
    </row>
    <row r="21" spans="1:27" s="53" customFormat="1" ht="18.75">
      <c r="A21" s="58">
        <v>17</v>
      </c>
      <c r="B21" s="130" t="s">
        <v>34</v>
      </c>
      <c r="C21" s="58" t="s">
        <v>11</v>
      </c>
      <c r="D21" s="58">
        <v>824.48</v>
      </c>
      <c r="E21" s="58"/>
      <c r="F21" s="126">
        <v>820.2</v>
      </c>
      <c r="G21" s="58">
        <v>824.48</v>
      </c>
      <c r="H21" s="58">
        <v>818.38</v>
      </c>
      <c r="I21" s="58"/>
      <c r="J21" s="58"/>
      <c r="K21" s="59">
        <v>823.5</v>
      </c>
      <c r="L21" s="59">
        <v>0.76300000000000001</v>
      </c>
      <c r="M21" s="126">
        <v>0.1913</v>
      </c>
      <c r="N21" s="126">
        <f t="shared" si="0"/>
        <v>25.07</v>
      </c>
      <c r="O21" s="58"/>
      <c r="P21" s="59"/>
      <c r="Q21" s="57">
        <f t="shared" si="2"/>
        <v>0</v>
      </c>
      <c r="R21" s="59"/>
      <c r="S21" s="149">
        <v>0</v>
      </c>
      <c r="T21" s="149">
        <v>0</v>
      </c>
      <c r="U21" s="59">
        <f t="shared" si="1"/>
        <v>0</v>
      </c>
      <c r="V21" s="59">
        <v>0</v>
      </c>
      <c r="W21" s="148"/>
      <c r="X21" s="131">
        <v>0</v>
      </c>
      <c r="Y21" s="132"/>
      <c r="Z21" s="135"/>
      <c r="AA21" s="135"/>
    </row>
    <row r="22" spans="1:27" s="53" customFormat="1" ht="18.75">
      <c r="A22" s="115">
        <v>18</v>
      </c>
      <c r="B22" s="121" t="s">
        <v>113</v>
      </c>
      <c r="C22" s="115" t="s">
        <v>11</v>
      </c>
      <c r="D22" s="115">
        <v>847.64</v>
      </c>
      <c r="E22" s="115"/>
      <c r="F22" s="139">
        <v>847.05</v>
      </c>
      <c r="G22" s="115">
        <v>849.49</v>
      </c>
      <c r="H22" s="115">
        <v>847.64</v>
      </c>
      <c r="I22" s="115"/>
      <c r="J22" s="115"/>
      <c r="K22" s="116"/>
      <c r="L22" s="116">
        <v>0.38999999999999996</v>
      </c>
      <c r="M22" s="139">
        <v>0.248</v>
      </c>
      <c r="N22" s="139">
        <f t="shared" si="0"/>
        <v>63.59</v>
      </c>
      <c r="O22" s="115" t="e">
        <f>(#REF!/L22)</f>
        <v>#REF!</v>
      </c>
      <c r="P22" s="116">
        <v>1.4737</v>
      </c>
      <c r="Q22" s="57">
        <f t="shared" si="2"/>
        <v>17.059999999999999</v>
      </c>
      <c r="R22" s="116">
        <v>1.4147000000000001</v>
      </c>
      <c r="S22" s="153">
        <v>0</v>
      </c>
      <c r="T22" s="153">
        <v>0</v>
      </c>
      <c r="U22" s="116">
        <f t="shared" si="1"/>
        <v>1.4147000000000001</v>
      </c>
      <c r="V22" s="116">
        <v>14</v>
      </c>
      <c r="W22" s="156"/>
      <c r="X22" s="131">
        <v>1.1138999999999999</v>
      </c>
      <c r="Y22" s="132"/>
      <c r="Z22" s="135"/>
      <c r="AA22" s="135"/>
    </row>
    <row r="23" spans="1:27" ht="18" thickBot="1">
      <c r="A23" s="124"/>
      <c r="B23" s="209" t="s">
        <v>35</v>
      </c>
      <c r="C23" s="209"/>
      <c r="D23" s="209"/>
      <c r="E23" s="61"/>
      <c r="F23" s="61"/>
      <c r="G23" s="61"/>
      <c r="H23" s="61"/>
      <c r="I23" s="61"/>
      <c r="J23" s="61"/>
      <c r="K23" s="62"/>
      <c r="L23" s="62">
        <f>SUM(L5:L22)</f>
        <v>3547.5540000000001</v>
      </c>
      <c r="M23" s="89">
        <f>ROUND(SUM(M5:M22),2)</f>
        <v>1259.8800000000001</v>
      </c>
      <c r="N23" s="201">
        <f t="shared" si="0"/>
        <v>35.51</v>
      </c>
      <c r="O23" s="201" t="e">
        <f>(#REF!/L23)</f>
        <v>#REF!</v>
      </c>
      <c r="P23" s="89"/>
      <c r="Q23" s="201"/>
      <c r="R23" s="162"/>
      <c r="S23" s="163"/>
      <c r="T23" s="162"/>
      <c r="U23" s="89"/>
      <c r="V23" s="61"/>
      <c r="W23" s="164"/>
      <c r="X23" s="131"/>
    </row>
    <row r="24" spans="1:27">
      <c r="B24" s="117"/>
      <c r="C24" s="56"/>
      <c r="D24" s="56"/>
      <c r="E24" s="56"/>
      <c r="F24" s="56"/>
      <c r="G24" s="56"/>
      <c r="H24" s="56"/>
      <c r="I24" s="56"/>
      <c r="J24" s="56"/>
      <c r="K24" s="56" t="s">
        <v>29</v>
      </c>
      <c r="L24" s="56"/>
      <c r="M24" s="56"/>
      <c r="N24" s="56"/>
      <c r="O24" s="56"/>
      <c r="P24" s="56"/>
      <c r="Q24" s="56"/>
      <c r="R24" s="165"/>
      <c r="S24" s="166"/>
      <c r="T24" s="56"/>
      <c r="U24" s="56"/>
      <c r="V24" s="167"/>
      <c r="W24" s="56"/>
    </row>
    <row r="25" spans="1:27" s="145" customFormat="1" ht="19.5">
      <c r="A25" s="125"/>
      <c r="B25" s="142" t="s">
        <v>145</v>
      </c>
      <c r="C25" s="143" t="s">
        <v>175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68"/>
      <c r="S25" s="169"/>
      <c r="T25" s="208" t="s">
        <v>62</v>
      </c>
      <c r="U25" s="208"/>
      <c r="V25" s="208"/>
      <c r="W25" s="208"/>
      <c r="X25" s="56"/>
      <c r="Y25" s="56"/>
      <c r="Z25" s="136"/>
      <c r="AA25" s="136"/>
    </row>
  </sheetData>
  <mergeCells count="4">
    <mergeCell ref="A1:W1"/>
    <mergeCell ref="A2:W2"/>
    <mergeCell ref="B23:D23"/>
    <mergeCell ref="T25:W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</vt:i4>
      </vt:variant>
    </vt:vector>
  </HeadingPairs>
  <TitlesOfParts>
    <vt:vector size="36" baseType="lpstr">
      <vt:lpstr>01.07.2026</vt:lpstr>
      <vt:lpstr>MU</vt:lpstr>
      <vt:lpstr>FB</vt:lpstr>
      <vt:lpstr>02.07.2026</vt:lpstr>
      <vt:lpstr>03.07.2026</vt:lpstr>
      <vt:lpstr>04.07.2026</vt:lpstr>
      <vt:lpstr>05.07.2026</vt:lpstr>
      <vt:lpstr>06.07.2026</vt:lpstr>
      <vt:lpstr>07.07.2026</vt:lpstr>
      <vt:lpstr>08.07.2026</vt:lpstr>
      <vt:lpstr>09.07.2026</vt:lpstr>
      <vt:lpstr>10.07.2026</vt:lpstr>
      <vt:lpstr>11.07.2026</vt:lpstr>
      <vt:lpstr>12.07.2026</vt:lpstr>
      <vt:lpstr>13.07.2026</vt:lpstr>
      <vt:lpstr>14.07.2026</vt:lpstr>
      <vt:lpstr>15.07.2026</vt:lpstr>
      <vt:lpstr>16.07.2026</vt:lpstr>
      <vt:lpstr>17.07.2026</vt:lpstr>
      <vt:lpstr>18.07.2026</vt:lpstr>
      <vt:lpstr>19.07.2026</vt:lpstr>
      <vt:lpstr>20.07.2026</vt:lpstr>
      <vt:lpstr>21.07.2026</vt:lpstr>
      <vt:lpstr>22.07.2026</vt:lpstr>
      <vt:lpstr>23.07.2026</vt:lpstr>
      <vt:lpstr>24.07.2026</vt:lpstr>
      <vt:lpstr>25.07.2026</vt:lpstr>
      <vt:lpstr>26.07.2026</vt:lpstr>
      <vt:lpstr>27.07.2026</vt:lpstr>
      <vt:lpstr>28.07.2026</vt:lpstr>
      <vt:lpstr>29.07.2026</vt:lpstr>
      <vt:lpstr>30.07.2026</vt:lpstr>
      <vt:lpstr>31.07.2026</vt:lpstr>
      <vt:lpstr>'01.07.2026'!Print_Area</vt:lpstr>
      <vt:lpstr>FB!Print_Area</vt:lpstr>
      <vt:lpstr>MU!Print_Area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MARIA TERESA</cp:lastModifiedBy>
  <cp:lastPrinted>2026-07-01T02:30:11Z</cp:lastPrinted>
  <dcterms:created xsi:type="dcterms:W3CDTF">2019-10-21T05:58:28Z</dcterms:created>
  <dcterms:modified xsi:type="dcterms:W3CDTF">2026-07-31T05:13:14Z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F53F2DCE807F4B2BBDD2D5781FAF6F94_12</vt:lpwstr>
  </property>
  <property fmtid="{D5CDD505-2E9C-101B-9397-08002B2CF9AE}" pid="3" name="KSOProductBuildVer">
    <vt:lpwstr>1033-12.2.0.13266</vt:lpwstr>
  </property>
</Properties>
</file>